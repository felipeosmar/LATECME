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r" sheetId="1" r:id="rId4"/>
    <sheet state="visible" name="AMOSOSMA" sheetId="2" r:id="rId5"/>
    <sheet state="visible" name="Dossiê TécnicoInternalização" sheetId="3" r:id="rId6"/>
    <sheet state="visible" name="Relatório de Revisões" sheetId="4" r:id="rId7"/>
    <sheet state="visible" name="MPS" sheetId="5" r:id="rId8"/>
    <sheet state="visible" name="PPS_L-DED" sheetId="6" r:id="rId9"/>
    <sheet state="visible" name="PPS_L-PBF" sheetId="7" r:id="rId10"/>
    <sheet state="visible" name="PQR_L-DED" sheetId="8" r:id="rId11"/>
    <sheet state="visible" name="PQR_L-PBF" sheetId="9" r:id="rId12"/>
    <sheet state="visible" name="BPQR_L-DED" sheetId="10" r:id="rId13"/>
    <sheet state="visible" name="BPQR_L-PBF" sheetId="11" r:id="rId14"/>
    <sheet state="visible" name="Tab" sheetId="12" r:id="rId15"/>
  </sheets>
  <definedNames/>
  <calcPr/>
  <extLst>
    <ext uri="GoogleSheetsCustomDataVersion2">
      <go:sheetsCustomData xmlns:go="http://customooxmlschemas.google.com/" r:id="rId16" roundtripDataChecksum="3SB9VoxMmjBrG7IEyBR9UW9si0bO1ZrBXWQllH2KvI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1">
      <text>
        <t xml:space="preserve">======
ID#AAABr5YyG1U
GUSTAVO HENRIQUE ZOSCHKE    (2025-10-03 14:33:07)
Relevante para ligas resistentes à corrosão por oxigênio (CRAs), como aço inoxidável duplex ou ligas de titânio.</t>
      </text>
    </comment>
    <comment authorId="0" ref="C27">
      <text>
        <t xml:space="preserve">======
ID#AAABr5YyG1Q
GUSTAVO HENRIQUE ZOSCHKE    (2025-10-03 14:33:07)
Se a qualificação do processo de construção (BPQ) foi realizada apenas com geometria de cupom fino, a qualificação é limitada a uma espessura máxima de 10 mm. Se apenas o cupom espesso foi usado, a espessura mínima pode ser considerada como 10 mm.</t>
      </text>
    </comment>
    <comment authorId="0" ref="D10">
      <text>
        <t xml:space="preserve">======
ID#AAABr5YyG1M
GUSTAVO HENRIQUE ZOSCHKE    (2025-10-03 14:33:07)
Códigos UNS similares podem ser validados mediante acordo e avaliação adicional.</t>
      </text>
    </comment>
    <comment authorId="0" ref="D2">
      <text>
        <t xml:space="preserve">======
ID#AAABr5YyG1I
GUSTAVO HENRIQUE ZOSCHKE    (2025-10-03 14:33:07)
Equipamentos ou softwares equivalentes ou aprimorados podem ser aceitos se forem realizados testes de validação, ver [5.6.1.5].</t>
      </text>
    </comment>
    <comment authorId="0" ref="C28">
      <text>
        <t xml:space="preserve">======
ID#AAABr5YyG1E
GUSTAVO HENRIQUE ZOSCHKE    (2025-10-03 14:33:07)
A estratégia de deposição deve ser descrita, preferencialmente com um esboço mostrando o caminho da ferramenta para uma camada representativa. O esboço deve indicar se o caminho é em laço aberto ou fechado e destacar a localização dos pontos de início/parada e quaisquer mudanças bruscas de direção. Várias dessas descrições podem ser necessárias conforme a geometria muda a cada camada.</t>
      </text>
    </comment>
  </commentList>
  <extLst>
    <ext uri="GoogleSheetsCustomDataVersion2">
      <go:sheetsCustomData xmlns:go="http://customooxmlschemas.google.com/" r:id="rId1" roundtripDataSignature="AMtx7mhIhFNqMus4hKDZ38OmzF/ZIMp5qA=="/>
    </ext>
  </extLst>
</comments>
</file>

<file path=xl/sharedStrings.xml><?xml version="1.0" encoding="utf-8"?>
<sst xmlns="http://schemas.openxmlformats.org/spreadsheetml/2006/main" count="831" uniqueCount="419">
  <si>
    <t>()
 ()</t>
  </si>
  <si>
    <t>Documento padronizado - SENAI/SC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</si>
  <si>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</si>
  <si>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t>Informações obrigatórias a serem preenchidas</t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</si>
  <si>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</si>
  <si>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Required information to be filled in</t>
  </si>
  <si>
    <t>Título:</t>
  </si>
  <si>
    <t xml:space="preserve"> ()</t>
  </si>
  <si>
    <t>Revisão Atual: 00</t>
  </si>
  <si>
    <t>Data da revisão: 26/06/2025</t>
  </si>
  <si>
    <t>Aprovado por: ????????</t>
  </si>
  <si>
    <t>Abertura de Protocolo de Serviço (AMOS)
 Opening of Service Protocol (OSP)</t>
  </si>
  <si>
    <t>FM-001-PO-009-ISI-JOI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</si>
  <si>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</si>
  <si>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</si>
  <si>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1. IDENTIFICAÇÃO DA DEMANDA</t>
  </si>
  <si>
    <t>Nº de identificação:</t>
  </si>
  <si>
    <t>Data de Abertura:</t>
  </si>
  <si>
    <t>Responsável (RT):</t>
  </si>
  <si>
    <t>Nome do Projeto:</t>
  </si>
  <si>
    <t>CR/PJ:</t>
  </si>
  <si>
    <t>Plano de Trabalho Criado?:</t>
  </si>
  <si>
    <t>Plano de Trablaho:</t>
  </si>
  <si>
    <t>PDF</t>
  </si>
  <si>
    <t>2. INFORMAÇÕES DO CLIENTE E SOLICITAÇÃO</t>
  </si>
  <si>
    <t>Cliente:</t>
  </si>
  <si>
    <t>Contato Principal no Cliente:</t>
  </si>
  <si>
    <t>Evidência da Solicitação:</t>
  </si>
  <si>
    <t>Anexo</t>
  </si>
  <si>
    <t>Breve Descrição da Demanda:</t>
  </si>
  <si>
    <t>3. REQUISITOS INICIAIS</t>
  </si>
  <si>
    <t xml:space="preserve"> Componente/Sistema mecânico:</t>
  </si>
  <si>
    <t>Requisitos Funcionais:</t>
  </si>
  <si>
    <t>Volume Estimado:</t>
  </si>
  <si>
    <t>Prazo Solicitado:</t>
  </si>
  <si>
    <t>Requisitos Normativos:</t>
  </si>
  <si>
    <t>Ensaios não destrutivos necessários:</t>
  </si>
  <si>
    <t>Validação Preliminar:</t>
  </si>
  <si>
    <t>Preliminary Validation:</t>
  </si>
  <si>
    <t>Final decision on feasibility</t>
  </si>
  <si>
    <t>Observações da Análise:</t>
  </si>
  <si>
    <t>Analysis Observations:</t>
  </si>
  <si>
    <t>"Geometry requires optimization to reduce supports in the Z area."</t>
  </si>
  <si>
    <t>Ensaios destrutivos necessários:</t>
  </si>
  <si>
    <t>AMC</t>
  </si>
  <si>
    <t>Abertura de Protocolo de Serviço (PS)</t>
  </si>
  <si>
    <t>Data da revisão: 07/10/2025</t>
  </si>
  <si>
    <t>Aprovado por: Marcelo Veiga</t>
  </si>
  <si>
    <t>Dossiê Técnico / Internalização ()
 ()</t>
  </si>
  <si>
    <t>FM-002-PO-009-ISI-JOI</t>
  </si>
  <si>
    <t>BR Português</t>
  </si>
  <si>
    <t>US English</t>
  </si>
  <si>
    <t>1. ANÁLISE CRÍTICA E VIABILIDADE (Equipe de Engenharia)</t>
  </si>
  <si>
    <t>1. CRITICAL ANALYSIS AND FEASIBILITY (Engineering Team)</t>
  </si>
  <si>
    <t>Arquivo CAD 3D Recebido?:</t>
  </si>
  <si>
    <t>Received 3D CAD file?:</t>
  </si>
  <si>
    <t>Arquivo CAD 3D:</t>
  </si>
  <si>
    <t>3D CAD file:</t>
  </si>
  <si>
    <t>Documento de Tolerâncias Recebido?:</t>
  </si>
  <si>
    <t>Tolerance Document Received?:</t>
  </si>
  <si>
    <t>Documento de Tolerâncias:</t>
  </si>
  <si>
    <t>Tolerance Document:</t>
  </si>
  <si>
    <t>Análise de Tecnologia:</t>
  </si>
  <si>
    <t>L-PBF, L-DED (Pó), L- DED (Arame) e SBJ</t>
  </si>
  <si>
    <t>Technology Analysis:</t>
  </si>
  <si>
    <t>Análise de Material:</t>
  </si>
  <si>
    <t>Material Analysis:</t>
  </si>
  <si>
    <t>Análise de Design (CAD):</t>
  </si>
  <si>
    <t>Design Analysis (CAD):</t>
  </si>
  <si>
    <t>Instruções Técnicas Seguidas:</t>
  </si>
  <si>
    <t>Recebimento da peça metálica física ?:</t>
  </si>
  <si>
    <t>Receipt of the physical metal part?</t>
  </si>
  <si>
    <t>Registro de recebimento:</t>
  </si>
  <si>
    <t>Anexo Foto</t>
  </si>
  <si>
    <t>Receipt confirmation:</t>
  </si>
  <si>
    <t>Data de recebimento:</t>
  </si>
  <si>
    <t>Date received:</t>
  </si>
  <si>
    <t>Nota fiscal de recebimento:</t>
  </si>
  <si>
    <t>Receipt invoice:</t>
  </si>
  <si>
    <t>Requer Desmontagem?:</t>
  </si>
  <si>
    <t>Does it require disassembly?</t>
  </si>
  <si>
    <t>Registro de Desmontagem:</t>
  </si>
  <si>
    <t>Anexo PDF</t>
  </si>
  <si>
    <t>Disassembly Log:</t>
  </si>
  <si>
    <t>Função Principal do Componente:</t>
  </si>
  <si>
    <t>Texto Livre</t>
  </si>
  <si>
    <t>Main Function of the Component:</t>
  </si>
  <si>
    <t>Requisitos Mecânicos Levantados:</t>
  </si>
  <si>
    <t>Mechanical Requirements Gathered:</t>
  </si>
  <si>
    <t>Relatório de Metrologia:</t>
  </si>
  <si>
    <t>Metrology Report:</t>
  </si>
  <si>
    <t>Relatório de análise de material:</t>
  </si>
  <si>
    <t>Material analysis report:</t>
  </si>
  <si>
    <t>Relatório de Simulação:</t>
  </si>
  <si>
    <t>Simulation Report:</t>
  </si>
  <si>
    <t>Justificativas Técnicas das Alterações:</t>
  </si>
  <si>
    <t>Technical Justifications for the Changes:</t>
  </si>
  <si>
    <t>Data da Reunião de Validação:</t>
  </si>
  <si>
    <t>Validation Meeting Date:</t>
  </si>
  <si>
    <t>Geometria Final Aprovada:</t>
  </si>
  <si>
    <t>Anexo PDF ou Print, CAD</t>
  </si>
  <si>
    <t>Final Geometry Approved:</t>
  </si>
  <si>
    <t>Dossiê Técnico/Internalização</t>
  </si>
  <si>
    <r>
      <rPr>
        <rFont val="Arial"/>
        <b/>
        <color rgb="FFFFFFFF"/>
        <sz val="12.0"/>
      </rPr>
      <t xml:space="preserve">Relatório de Revisões ()
 </t>
    </r>
    <r>
      <rPr>
        <rFont val="Arial"/>
        <b/>
        <color rgb="FFFF0000"/>
        <sz val="12.0"/>
      </rPr>
      <t>(Itens 6.3; 8.1; 8.3; 8.5.6)</t>
    </r>
  </si>
  <si>
    <t>FM-004-PO-009-ISI-JOI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</si>
  <si>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</si>
  <si>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</si>
  <si>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1. IDENTIFICAÇÃO DO SISTEMA</t>
  </si>
  <si>
    <t>AMOS associado:</t>
  </si>
  <si>
    <t>Nome/ID do Componente:</t>
  </si>
  <si>
    <t>Responsável pela Otimização:</t>
  </si>
  <si>
    <t>2. REFERÊNCIAS DE MODELOS</t>
  </si>
  <si>
    <t>Modelo CAD Original:</t>
  </si>
  <si>
    <t>Modelo CAD Otimizado para MA:</t>
  </si>
  <si>
    <t>3. TABELA DE ALTERAÇÕES</t>
  </si>
  <si>
    <t>Item:</t>
  </si>
  <si>
    <t>4. CONSIDERAÇÕES ADICIONAIS</t>
  </si>
  <si>
    <t>Necessidade de Validação Adicional:</t>
  </si>
  <si>
    <t>Avaliação de riscos para alterações :</t>
  </si>
  <si>
    <t>Analise de risco de fabricação por MA:</t>
  </si>
  <si>
    <t>Revisado por:</t>
  </si>
  <si>
    <t xml:space="preserve"> Registro de Desmontagem ()</t>
  </si>
  <si>
    <t>Especificação do procedimento de fabricação (MPS)
Manufacturing procedure specification (MPS)</t>
  </si>
  <si>
    <t>FM-006-PO-009-ISI-JOI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</si>
  <si>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</si>
  <si>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</si>
  <si>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MD2 - Reparo de eixo - Inconel</t>
  </si>
  <si>
    <t>A descriptive title:</t>
  </si>
  <si>
    <t>AMC 3</t>
  </si>
  <si>
    <t>ID fabricação</t>
  </si>
  <si>
    <t>MPS-27525-001</t>
  </si>
  <si>
    <t>Manufacturing ID</t>
  </si>
  <si>
    <t>Referência a norma DNV:</t>
  </si>
  <si>
    <t>DNV- B203</t>
  </si>
  <si>
    <t>Reference to DNV standard</t>
  </si>
  <si>
    <t>Nome da organização fabricante e local:</t>
  </si>
  <si>
    <t>-</t>
  </si>
  <si>
    <t>Name of manufacturing organization and location</t>
  </si>
  <si>
    <t>Tenologia AM utilizada</t>
  </si>
  <si>
    <t>L-DED</t>
  </si>
  <si>
    <t>AM technology:</t>
  </si>
  <si>
    <t>Tipo de material de alimentação:</t>
  </si>
  <si>
    <t>Pó</t>
  </si>
  <si>
    <t>Feedstock:</t>
  </si>
  <si>
    <t>Quantidade de Peças</t>
  </si>
  <si>
    <t>n Peças</t>
  </si>
  <si>
    <t>Parts and test specimen</t>
  </si>
  <si>
    <t>Normas e especificações aplicáveis</t>
  </si>
  <si>
    <t>Applicable standards and specifications</t>
  </si>
  <si>
    <t>Referência à PPS</t>
  </si>
  <si>
    <t>Reference to PPS</t>
  </si>
  <si>
    <t>Referência a documentos MPS anteriores:</t>
  </si>
  <si>
    <t>Reference to previous MPS documents</t>
  </si>
  <si>
    <t>Rastreabilidade do modelo digital e da peça</t>
  </si>
  <si>
    <t>Traceability of digital model and manufactured part</t>
  </si>
  <si>
    <t>Quantidade de peças e corpos de prova e seus critérios</t>
  </si>
  <si>
    <t>Quantity of parts and test coupons and their criteria</t>
  </si>
  <si>
    <r>
      <rPr>
        <rFont val="Arial"/>
        <b/>
        <color theme="1"/>
        <sz val="11.0"/>
      </rPr>
      <t xml:space="preserve">Anexar layout do build - </t>
    </r>
    <r>
      <rPr>
        <rFont val="Arial"/>
        <b/>
        <i/>
        <color theme="1"/>
        <sz val="11.0"/>
      </rPr>
      <t>Quando PBF, indicar posição dos suportes</t>
    </r>
  </si>
  <si>
    <t>Attach build layout – For PBF, indicate support positions</t>
  </si>
  <si>
    <t>Etapas de pós-processamento (Procedimento e sequência)</t>
  </si>
  <si>
    <t>Post-processing steps (Procedure and sequence)</t>
  </si>
  <si>
    <t>Critérios de aceitação (materiais e geométricos)</t>
  </si>
  <si>
    <t>Acceptance criteria (material and geometric)</t>
  </si>
  <si>
    <t>Testes ou inspeções adicionais</t>
  </si>
  <si>
    <t>Additional tests or inspections</t>
  </si>
  <si>
    <t>Versão do arquivo digital utilizado na fabricação (CAD/Build file)</t>
  </si>
  <si>
    <t>Version of the digital file used in manufacturing (CAD/Build file)</t>
  </si>
  <si>
    <t>Especificação do procedimento de fabricação (MPS)</t>
  </si>
  <si>
    <t>Especificação de Produção da Peça (PPS)
Part Production Specification (PPS)</t>
  </si>
  <si>
    <t>FM-007-PO-009-ISI-JOI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</si>
  <si>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</si>
  <si>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</si>
  <si>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Data de Elaboração/Revisão:</t>
  </si>
  <si>
    <t>Projeto:</t>
  </si>
  <si>
    <t>ID da Peça:</t>
  </si>
  <si>
    <t>ID do Arquivo de Construção:</t>
  </si>
  <si>
    <t>Versão do Arquivo de Construção:</t>
  </si>
  <si>
    <t>Referência ao BPQR:</t>
  </si>
  <si>
    <t>Referência ao PQR:</t>
  </si>
  <si>
    <t>1.Hardware e software</t>
  </si>
  <si>
    <t>Tecnologia de MA:</t>
  </si>
  <si>
    <t>Equipamento de MA:</t>
  </si>
  <si>
    <t>Fonte de Energia:</t>
  </si>
  <si>
    <t>Laser (Detalhes):</t>
  </si>
  <si>
    <t>Posicionador:</t>
  </si>
  <si>
    <t>Mecanismo de Alimentação:</t>
  </si>
  <si>
    <t>Sistema de Controle:</t>
  </si>
  <si>
    <t>Software e Firmware:</t>
  </si>
  <si>
    <t>2. Materiais e consumíveis</t>
  </si>
  <si>
    <t>Material de alimentação (Liga):</t>
  </si>
  <si>
    <t>Material de alimentação (Forma):</t>
  </si>
  <si>
    <t>Certificado do Material (Lote):</t>
  </si>
  <si>
    <t>Características do pó:</t>
  </si>
  <si>
    <t>Diâmetro do arame:</t>
  </si>
  <si>
    <t>Substrato (Material / Lote):</t>
  </si>
  <si>
    <t>Gás de proteção (Composição):</t>
  </si>
  <si>
    <t>Gás de transporte (Composição):</t>
  </si>
  <si>
    <t>2.Pós-processamento</t>
  </si>
  <si>
    <t>Pós-processamento térmico:</t>
  </si>
  <si>
    <t>3.Parâmetros de processo</t>
  </si>
  <si>
    <t>part pro</t>
  </si>
  <si>
    <t>Pré-aquecimento:</t>
  </si>
  <si>
    <t>Temperatura entre passes:</t>
  </si>
  <si>
    <t>Método de limpeza entre passes:</t>
  </si>
  <si>
    <t>Resfriamento forçado:</t>
  </si>
  <si>
    <t>Espessura da construção:</t>
  </si>
  <si>
    <t>Estratégia de deposição:</t>
  </si>
  <si>
    <t>Grau de sobreposição entre cordões adjacentes:</t>
  </si>
  <si>
    <t>Posição de construção (conforme ISO 6947 ou similar):</t>
  </si>
  <si>
    <t>Taxa de alimentação de pó ou arame:</t>
  </si>
  <si>
    <t>Altura da camada:</t>
  </si>
  <si>
    <t>Distância entre o bico e o substrato (camada inicial):</t>
  </si>
  <si>
    <t>Distância entre o bico e o material depositado:</t>
  </si>
  <si>
    <t>Densidade de energia:</t>
  </si>
  <si>
    <t>Características de pulsação:</t>
  </si>
  <si>
    <t>Tamanho do ponto do laser:</t>
  </si>
  <si>
    <t>Cordão reto ou entrelaçado:</t>
  </si>
  <si>
    <t>Vazão de gás de proteção:</t>
  </si>
  <si>
    <t>Dimensões do bico de gás de proteção, se aplicável:</t>
  </si>
  <si>
    <t>Teor de oxigênio atmosférico, se aplicável:</t>
  </si>
  <si>
    <t>Especificação de produção da peça (PPS)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</si>
  <si>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</si>
  <si>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</si>
  <si>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Build plate:</t>
  </si>
  <si>
    <t>Recoater:</t>
  </si>
  <si>
    <t>Laser system and optics:</t>
  </si>
  <si>
    <t>Peneira:</t>
  </si>
  <si>
    <t>2.Materiais e consumíveis</t>
  </si>
  <si>
    <t>Composição química:</t>
  </si>
  <si>
    <t>Forma das partículas:</t>
  </si>
  <si>
    <t>Distribuição do tamanho das partículas:</t>
  </si>
  <si>
    <t>Densidade aparente:</t>
  </si>
  <si>
    <t>Fluidez:</t>
  </si>
  <si>
    <t>Gás inerte de processo (Composição):</t>
  </si>
  <si>
    <t>3.Pós-processamento</t>
  </si>
  <si>
    <t>4.Parâmetros de processo</t>
  </si>
  <si>
    <t>Conjunto de parâmetros (Parameter set):</t>
  </si>
  <si>
    <t>Registro de Qualificação de Peça (PQR)
Part Qualification Record (PQR)</t>
  </si>
  <si>
    <t>FM-008-PO-009-ISI-JOI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</si>
  <si>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</si>
  <si>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</si>
  <si>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1. Identificação do Documento</t>
  </si>
  <si>
    <t>Data de qualificação:</t>
  </si>
  <si>
    <t>Fabricante / Empresa:</t>
  </si>
  <si>
    <t>Normas de fabricação aplicáveis:</t>
  </si>
  <si>
    <t>Categoria AM (AMC):</t>
  </si>
  <si>
    <t>2. Descrição da Peça</t>
  </si>
  <si>
    <t>Descrição da peça:</t>
  </si>
  <si>
    <t>ID do modelo 3D da peça</t>
  </si>
  <si>
    <t>Processo MA</t>
  </si>
  <si>
    <t>Referência ao BPQR de Suporte:</t>
  </si>
  <si>
    <t>Material:</t>
  </si>
  <si>
    <t>Estado do pó:</t>
  </si>
  <si>
    <t>Feedstock Certificate nº:</t>
  </si>
  <si>
    <t>3. Hardware e software</t>
  </si>
  <si>
    <t>4. Materiais e consumíveis</t>
  </si>
  <si>
    <t>5. Pós-processamento</t>
  </si>
  <si>
    <t>6. Parâmetros de processo</t>
  </si>
  <si>
    <t>7. DETALHES DA CONSTRUÇÃO DE QUALIFICAÇÃO</t>
  </si>
  <si>
    <t>Descrição (Orientação, Suportes, Aninhamento):</t>
  </si>
  <si>
    <t>Imagem do Layout da Plataforma:</t>
  </si>
  <si>
    <t>8. RESULTADOS DOS ENSAIOS (NDT) (AMC 2 e 3)</t>
  </si>
  <si>
    <t>Inspeção Visual (100% da peça):</t>
  </si>
  <si>
    <t>Verificação Dimensional (Conforme requisitos):</t>
  </si>
  <si>
    <t>Ensaios Superficiais (NDT) (100% da peça):</t>
  </si>
  <si>
    <t>Ensaios Volumétricos (NDT) (100% da peça):</t>
  </si>
  <si>
    <t>9. RESULTADOS DOS ENSAIOS (MEC/MET) (AMC 3)</t>
  </si>
  <si>
    <t>Ensaio de Tração (das "seções críticas"):</t>
  </si>
  <si>
    <t>Medições de Dureza (das "seções críticas"):</t>
  </si>
  <si>
    <t>Avaliação Macro/Micro/Porosidade (das "seções finas, espessas e críticas"):</t>
  </si>
  <si>
    <t>Testes de Produção (Corpos de prova de produção incluídos):</t>
  </si>
  <si>
    <t>Ensaio de Tração de Parede Fina (se aplicável):</t>
  </si>
  <si>
    <t>Tabela 1 – Ensaios Mecânicos</t>
  </si>
  <si>
    <t>Ensaio</t>
  </si>
  <si>
    <t>Norma</t>
  </si>
  <si>
    <t>Amostra</t>
  </si>
  <si>
    <t>Resultado</t>
  </si>
  <si>
    <t>Tração</t>
  </si>
  <si>
    <t>ASTM E8/E8M</t>
  </si>
  <si>
    <t>CP-01</t>
  </si>
  <si>
    <t xml:space="preserve"> MPa</t>
  </si>
  <si>
    <t>Dureza</t>
  </si>
  <si>
    <t>ASTM E384</t>
  </si>
  <si>
    <t>CP-02</t>
  </si>
  <si>
    <t>HRC</t>
  </si>
  <si>
    <t>Impacto</t>
  </si>
  <si>
    <t>ASTM E23</t>
  </si>
  <si>
    <t>CP-03</t>
  </si>
  <si>
    <t>J</t>
  </si>
  <si>
    <t>Tabela 2 – Ensaios Metalográficos</t>
  </si>
  <si>
    <t>Tipo</t>
  </si>
  <si>
    <t>Macroestrutura</t>
  </si>
  <si>
    <t>ASTM E3/E407</t>
  </si>
  <si>
    <t>CP-04</t>
  </si>
  <si>
    <t>Microestrutura</t>
  </si>
  <si>
    <t>ASTM E407</t>
  </si>
  <si>
    <t>CP-05</t>
  </si>
  <si>
    <t>Tabela 3 – Ensaios Não Destrutivos (END)</t>
  </si>
  <si>
    <t>Método</t>
  </si>
  <si>
    <t>Líquido penetrante</t>
  </si>
  <si>
    <t>ASTM E165</t>
  </si>
  <si>
    <t>Peça 01</t>
  </si>
  <si>
    <t>Tomografia RX</t>
  </si>
  <si>
    <t>ISO 15708</t>
  </si>
  <si>
    <t>Registro de Qualificação de Peça (PQR)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</si>
  <si>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</si>
  <si>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</si>
  <si>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3.Hardware e software</t>
  </si>
  <si>
    <t>4.Materiais e consumíveis</t>
  </si>
  <si>
    <t>5.Pós-processamento</t>
  </si>
  <si>
    <t>6.Parâmetros de processo</t>
  </si>
  <si>
    <t>Registro de Qualificação do Processo de Construção (BPQR)
Build Process Qualification Record (BPQR)</t>
  </si>
  <si>
    <t>FM-005-PO-009-ISI-JOI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</si>
  <si>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</si>
  <si>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</si>
  <si>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Data da qualificação:</t>
  </si>
  <si>
    <t>Fabricante/subfornecedor e local:</t>
  </si>
  <si>
    <t>Normas de fabricação utilizadas:</t>
  </si>
  <si>
    <t>Corpos de prova: Ensaio de Tração (quantidade e norma utilizada):</t>
  </si>
  <si>
    <t>Corpos de prova: Ensaio de Tração em Paredes Finas (quantidade e norma utilizada):</t>
  </si>
  <si>
    <t>Corpos de prova: Ensaio de Impacto (quantidade e norma utilizada):</t>
  </si>
  <si>
    <t>Corpos de prova: Dureza, Macroestrutura, Microestrututa e Porosidade (quantidade e norma utilizada):</t>
  </si>
  <si>
    <t>Corpos de prova: Ánalise Química (norma utilizada):</t>
  </si>
  <si>
    <t>Detalhes e sequência do pós-processamento:</t>
  </si>
  <si>
    <t>Resultados do ensaio de qualificação do processo de construção (ensaios laboratoriais, orientação e localização dos corpos de prova):</t>
  </si>
  <si>
    <t>Relatórios de ensaios não destrutivos, com declaração de resultados/conformidade, se aplicável:</t>
  </si>
  <si>
    <t>Registro de Qualificação do Processo de Construção (BPQR)</t>
  </si>
  <si>
    <r>
      <rPr>
        <rFont val="Arial"/>
        <b/>
        <color rgb="FF000000"/>
        <sz val="11.0"/>
      </rPr>
      <t>BR</t>
    </r>
    <r>
      <rPr>
        <rFont val="Arial"/>
        <b/>
        <color rgb="FF000000"/>
        <sz val="11.0"/>
      </rPr>
      <t xml:space="preserve"> Português</t>
    </r>
  </si>
  <si>
    <r>
      <rPr>
        <rFont val="Arial"/>
        <b/>
        <color rgb="FF000000"/>
        <sz val="11.0"/>
      </rPr>
      <t>US</t>
    </r>
    <r>
      <rPr>
        <rFont val="Arial"/>
        <b/>
        <color rgb="FF000000"/>
        <sz val="11.0"/>
      </rPr>
      <t xml:space="preserve"> English</t>
    </r>
  </si>
  <si>
    <t>Categoria</t>
  </si>
  <si>
    <t>ID do Parâmetro</t>
  </si>
  <si>
    <t>Parâmetros Essenciais</t>
  </si>
  <si>
    <t>Limites da Qualificação</t>
  </si>
  <si>
    <t>1. Hardware e software</t>
  </si>
  <si>
    <t>Fonte de energia</t>
  </si>
  <si>
    <t>Qualquer mudança na marca, tipo ou modelo ¹⁾</t>
  </si>
  <si>
    <t>Laser</t>
  </si>
  <si>
    <t>Posicionador</t>
  </si>
  <si>
    <t>Mecanismo de alimentação de material</t>
  </si>
  <si>
    <t>Sistema de controle computadorizado</t>
  </si>
  <si>
    <t>Controle de atmosfera</t>
  </si>
  <si>
    <t>Qualquer mudança entre proteção local, câmara com atmosfera controlada e câmara de vácuo</t>
  </si>
  <si>
    <t>Software e firmware</t>
  </si>
  <si>
    <t>Mudança de fabricante ou nome do software/firmware, e atualizações principais, ver [5.6.1.5]</t>
  </si>
  <si>
    <t>Substrato, quando não incluído na peça</t>
  </si>
  <si>
    <t>Mudança nas propriedades térmicas do material do substrato</t>
  </si>
  <si>
    <t>Substrato, quando incluído na peça</t>
  </si>
  <si>
    <t>- Para um substrato feito por AM, mudança na PPS usada fora do escopo do BPQR/PQR.
- Para aço carbono e baixa liga: aumento de classe.
- Mudança na condição de fornecimento do material base (ex.: normalizado, TMCP, fundido).
- Mudança no código UNS para materiais que não sejam aço carbono ou baixa liga ²⁾</t>
  </si>
  <si>
    <t>Material de alimentação</t>
  </si>
  <si>
    <t>Qualquer mudança na marca, método de fabricação, tipo ou nome comercial</t>
  </si>
  <si>
    <t>Diâmetro do arame</t>
  </si>
  <si>
    <t>Mudança de diâmetro do arame</t>
  </si>
  <si>
    <t>Características do pó</t>
  </si>
  <si>
    <t>Mudança na composição, distribuição granulométrica ou outras propriedades fora das tolerâncias da especificação do pó</t>
  </si>
  <si>
    <t>Gás de proteção e sua composição</t>
  </si>
  <si>
    <t>Mudança de composição nominal ou redução do nível de pureza</t>
  </si>
  <si>
    <t>Gás de transporte suplementar</t>
  </si>
  <si>
    <t>Adição ou exclusão de gás de proteção suplementar e mudança na composição nominal</t>
  </si>
  <si>
    <t>3. Pós-processamento</t>
  </si>
  <si>
    <t>Pós-processamento térmico</t>
  </si>
  <si>
    <t>Qualquer mudança na sequência ou nos procedimentos</t>
  </si>
  <si>
    <t>4. Parâmetros de processo</t>
  </si>
  <si>
    <t>4-1</t>
  </si>
  <si>
    <t>Pré-aquecimento</t>
  </si>
  <si>
    <t>Mudança no método de pré-aquecimento e qualquer redução na temperatura usada na qualificação</t>
  </si>
  <si>
    <t>4-2</t>
  </si>
  <si>
    <t>Temperatura entre passes</t>
  </si>
  <si>
    <t>Qualquer aumento em relação à temperatura máxima entre passes usada na qualificação</t>
  </si>
  <si>
    <t>4-3</t>
  </si>
  <si>
    <t>Método de limpeza entre passes</t>
  </si>
  <si>
    <t>Qualquer mudança que resulte em limpeza inferior entre as camadas</t>
  </si>
  <si>
    <t>4-4</t>
  </si>
  <si>
    <t>Resfriamento forçado</t>
  </si>
  <si>
    <t>Qualquer mudança de resfriamento forçado para natural, ou vice-versa</t>
  </si>
  <si>
    <t>4-5</t>
  </si>
  <si>
    <t>Espessura da construção ¹⁾</t>
  </si>
  <si>
    <t>Redução da espessura abaixo da mínima utilizada na qualificação</t>
  </si>
  <si>
    <t>4-6</t>
  </si>
  <si>
    <t>Estratégia de deposição ²⁾</t>
  </si>
  <si>
    <t>Qualquer mudança na estratégia de deposição</t>
  </si>
  <si>
    <t>4-7</t>
  </si>
  <si>
    <t>Grau de sobreposição entre cordões adjacentes</t>
  </si>
  <si>
    <t>Qualquer mudança na porcentagem de sobreposição</t>
  </si>
  <si>
    <t>4-8</t>
  </si>
  <si>
    <t>Posição de construção (conforme ISO 6947 ou similar)</t>
  </si>
  <si>
    <t>Qualquer mudança na posição de construção</t>
  </si>
  <si>
    <t>4-9</t>
  </si>
  <si>
    <t>Taxa de alimentação de pó ou arame</t>
  </si>
  <si>
    <t>Mudança que exceda a faixa programada utilizada na qualificação</t>
  </si>
  <si>
    <t>4-10</t>
  </si>
  <si>
    <t>Altura da camada</t>
  </si>
  <si>
    <t>Qualquer mudança na altura programada da camada</t>
  </si>
  <si>
    <t>4-11</t>
  </si>
  <si>
    <t>Distância entre o bico e o substrato (camada inicial)</t>
  </si>
  <si>
    <t>Qualquer mudança na distância nominal entre o bico de proteção gasosa e o substrato, para a primeira camada</t>
  </si>
  <si>
    <t>4-12</t>
  </si>
  <si>
    <t>Distância entre o bico e o material depositado</t>
  </si>
  <si>
    <t>Qualquer mudança na distância nominal entre o bico de proteção gasosa e o material depositado</t>
  </si>
  <si>
    <t>4-13</t>
  </si>
  <si>
    <t>Densidade de energia</t>
  </si>
  <si>
    <t>Qualquer mudança que exceda a faixa programada de densidade de energia usada na qualificação</t>
  </si>
  <si>
    <t>4-14</t>
  </si>
  <si>
    <t>Características de pulsação</t>
  </si>
  <si>
    <t>Qualquer mudança nas características de pulsação</t>
  </si>
  <si>
    <t>4-15</t>
  </si>
  <si>
    <t>Tamanho do ponto do laser</t>
  </si>
  <si>
    <t>Qualquer mudança</t>
  </si>
  <si>
    <t>4-16</t>
  </si>
  <si>
    <t>Cordão reto ou entrelaçado</t>
  </si>
  <si>
    <t>Mudança de cordão reto para entrelaçado ou vice-versa</t>
  </si>
  <si>
    <t>4-17</t>
  </si>
  <si>
    <t>Vazão de gás de proteção</t>
  </si>
  <si>
    <t>Qualquer mudança superior a ±10% em volume por minuto</t>
  </si>
  <si>
    <t>4-18</t>
  </si>
  <si>
    <t>Dimensões do bico de gás de proteção, se aplicável</t>
  </si>
  <si>
    <t>Qualquer mudança no tamanho</t>
  </si>
  <si>
    <t>4-19</t>
  </si>
  <si>
    <t>Teor de oxigênio atmosférico, se aplicável ³⁾</t>
  </si>
  <si>
    <t>Qualquer aumento em relação ao teor de oxigênio usado na qualificação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</si>
</sst>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24">
    <font>
      <sz val="10.0"/>
      <color rgb="FF000000"/>
      <name val="Arial"/>
      <scheme val="minor"/>
    </font>
    <font>
      <b/>
      <sz val="12.0"/>
      <color rgb="FF083C92"/>
      <name val="Arial"/>
    </font>
    <font>
      <sz val="10.0"/>
      <color rgb="FF000000"/>
      <name val="Arial"/>
    </font>
    <font>
      <b/>
      <i/>
      <sz val="8.0"/>
      <color theme="1"/>
      <name val="Arial"/>
    </font>
    <font/>
    <font>
      <b/>
      <vertAlign val="subscript"/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7F7F7F"/>
      <name val="Arial"/>
    </font>
    <font>
      <b/>
      <sz val="12.0"/>
      <color rgb="FFFFFFFF"/>
      <name val="Arial"/>
    </font>
    <font>
      <b/>
      <vertAlign val="subscript"/>
      <sz val="11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i/>
      <sz val="11.0"/>
      <color rgb="FF7F7F7F"/>
      <name val="Arial"/>
    </font>
    <font>
      <b/>
      <vertAlign val="subscript"/>
      <sz val="11.0"/>
      <color rgb="FF000000"/>
      <name val="Arial"/>
    </font>
    <font>
      <b/>
      <vertAlign val="subscript"/>
      <sz val="11.0"/>
      <color rgb="FF000000"/>
      <name val="Arial"/>
    </font>
    <font>
      <b/>
      <vertAlign val="subscript"/>
      <sz val="11.0"/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0.0"/>
      <color theme="0"/>
      <name val="Arial"/>
    </font>
    <font>
      <sz val="10.0"/>
      <color theme="1"/>
      <name val="Arial"/>
    </font>
    <font>
      <u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</fills>
  <borders count="42">
    <border/>
    <border>
      <right style="dotted">
        <color rgb="FF000000"/>
      </right>
    </border>
    <border>
      <left/>
      <top/>
    </border>
    <border>
      <top/>
    </border>
    <border>
      <right style="dotted">
        <color rgb="FF000000"/>
      </right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3881CA"/>
      </left>
      <right style="medium">
        <color rgb="FF3881CA"/>
      </right>
      <top style="medium">
        <color rgb="FF3881CA"/>
      </top>
      <bottom style="medium">
        <color rgb="FF3881CA"/>
      </bottom>
    </border>
    <border>
      <left style="medium">
        <color rgb="FF3881CA"/>
      </left>
      <top style="medium">
        <color rgb="FF3881CA"/>
      </top>
      <bottom style="medium">
        <color rgb="FF3881CA"/>
      </bottom>
    </border>
    <border>
      <right style="medium">
        <color rgb="FF3881CA"/>
      </right>
      <top style="medium">
        <color rgb="FF3881CA"/>
      </top>
      <bottom style="medium">
        <color rgb="FF3881CA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/>
    </border>
    <border>
      <right style="thin">
        <color rgb="FFB7B7B7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49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4" fontId="1" numFmtId="0" xfId="0" applyAlignment="1" applyFill="1" applyFont="1">
      <alignment horizontal="center" shrinkToFit="0" vertical="center" wrapText="1"/>
    </xf>
    <xf borderId="0" fillId="4" fontId="9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vertical="center"/>
    </xf>
    <xf borderId="6" fillId="4" fontId="1" numFmtId="0" xfId="0" applyAlignment="1" applyBorder="1" applyFont="1">
      <alignment horizontal="center" shrinkToFit="0" vertical="center" wrapText="1"/>
    </xf>
    <xf borderId="7" fillId="5" fontId="9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6" fillId="0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3" fontId="10" numFmtId="0" xfId="0" applyAlignment="1" applyBorder="1" applyFont="1">
      <alignment horizontal="center" shrinkToFit="0" vertical="center" wrapText="1"/>
    </xf>
    <xf borderId="14" fillId="3" fontId="6" numFmtId="0" xfId="0" applyAlignment="1" applyBorder="1" applyFont="1">
      <alignment horizontal="center" vertical="center"/>
    </xf>
    <xf borderId="14" fillId="4" fontId="11" numFmtId="0" xfId="0" applyAlignment="1" applyBorder="1" applyFont="1">
      <alignment horizontal="center"/>
    </xf>
    <xf borderId="14" fillId="6" fontId="12" numFmtId="49" xfId="0" applyAlignment="1" applyBorder="1" applyFill="1" applyFont="1" applyNumberFormat="1">
      <alignment horizontal="center" shrinkToFit="0" wrapText="1"/>
    </xf>
    <xf borderId="14" fillId="4" fontId="12" numFmtId="49" xfId="0" applyAlignment="1" applyBorder="1" applyFont="1" applyNumberFormat="1">
      <alignment horizontal="center" shrinkToFit="0" wrapText="1"/>
    </xf>
    <xf borderId="14" fillId="4" fontId="12" numFmtId="0" xfId="0" applyBorder="1" applyFont="1"/>
    <xf borderId="14" fillId="6" fontId="12" numFmtId="49" xfId="0" applyAlignment="1" applyBorder="1" applyFont="1" applyNumberFormat="1">
      <alignment horizontal="center" readingOrder="0" shrinkToFit="0" wrapText="1"/>
    </xf>
    <xf borderId="14" fillId="4" fontId="13" numFmtId="49" xfId="0" applyAlignment="1" applyBorder="1" applyFont="1" applyNumberFormat="1">
      <alignment horizontal="center" shrinkToFit="0" wrapText="1"/>
    </xf>
    <xf borderId="14" fillId="4" fontId="12" numFmtId="0" xfId="0" applyAlignment="1" applyBorder="1" applyFont="1">
      <alignment readingOrder="0"/>
    </xf>
    <xf borderId="14" fillId="7" fontId="12" numFmtId="0" xfId="0" applyBorder="1" applyFill="1" applyFont="1"/>
    <xf borderId="14" fillId="7" fontId="12" numFmtId="49" xfId="0" applyAlignment="1" applyBorder="1" applyFont="1" applyNumberFormat="1">
      <alignment horizontal="center" shrinkToFit="0" wrapText="1"/>
    </xf>
    <xf borderId="15" fillId="0" fontId="14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14" fillId="0" fontId="14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14" fillId="3" fontId="15" numFmtId="0" xfId="0" applyAlignment="1" applyBorder="1" applyFont="1">
      <alignment horizontal="center" readingOrder="0" shrinkToFit="0" vertical="center" wrapText="1"/>
    </xf>
    <xf borderId="14" fillId="3" fontId="6" numFmtId="0" xfId="0" applyAlignment="1" applyBorder="1" applyFont="1">
      <alignment horizontal="center" readingOrder="0" vertical="center"/>
    </xf>
    <xf borderId="14" fillId="6" fontId="6" numFmtId="0" xfId="0" applyAlignment="1" applyBorder="1" applyFont="1">
      <alignment horizontal="center" readingOrder="0" vertical="center"/>
    </xf>
    <xf borderId="14" fillId="0" fontId="7" numFmtId="49" xfId="0" applyAlignment="1" applyBorder="1" applyFont="1" applyNumberFormat="1">
      <alignment horizontal="center" readingOrder="0" vertical="center"/>
    </xf>
    <xf borderId="14" fillId="0" fontId="7" numFmtId="0" xfId="0" applyAlignment="1" applyBorder="1" applyFont="1">
      <alignment horizontal="left" readingOrder="0" vertical="center"/>
    </xf>
    <xf borderId="14" fillId="0" fontId="7" numFmtId="49" xfId="0" applyAlignment="1" applyBorder="1" applyFont="1" applyNumberFormat="1">
      <alignment horizontal="center" readingOrder="0" shrinkToFit="0" vertical="center" wrapText="1"/>
    </xf>
    <xf borderId="14" fillId="6" fontId="7" numFmtId="0" xfId="0" applyAlignment="1" applyBorder="1" applyFont="1">
      <alignment horizontal="left" readingOrder="0" vertical="center"/>
    </xf>
    <xf borderId="15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vertical="center"/>
    </xf>
    <xf borderId="15" fillId="4" fontId="16" numFmtId="0" xfId="0" applyAlignment="1" applyBorder="1" applyFont="1">
      <alignment horizontal="center" shrinkToFit="0" vertical="center" wrapText="1"/>
    </xf>
    <xf borderId="14" fillId="6" fontId="6" numFmtId="0" xfId="0" applyAlignment="1" applyBorder="1" applyFont="1">
      <alignment horizontal="center" vertical="center"/>
    </xf>
    <xf borderId="14" fillId="0" fontId="7" numFmtId="49" xfId="0" applyAlignment="1" applyBorder="1" applyFont="1" applyNumberFormat="1">
      <alignment horizontal="center" vertical="center"/>
    </xf>
    <xf borderId="14" fillId="0" fontId="7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left" vertical="center"/>
    </xf>
    <xf borderId="19" fillId="0" fontId="4" numFmtId="0" xfId="0" applyBorder="1" applyFont="1"/>
    <xf borderId="20" fillId="0" fontId="4" numFmtId="0" xfId="0" applyBorder="1" applyFont="1"/>
    <xf borderId="18" fillId="0" fontId="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vertical="center"/>
    </xf>
    <xf borderId="2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4" fontId="17" numFmtId="0" xfId="0" applyAlignment="1" applyFont="1">
      <alignment horizontal="center" shrinkToFit="0" vertical="center" wrapText="1"/>
    </xf>
    <xf borderId="14" fillId="0" fontId="11" numFmtId="0" xfId="0" applyAlignment="1" applyBorder="1" applyFont="1">
      <alignment shrinkToFit="0" wrapText="1"/>
    </xf>
    <xf borderId="14" fillId="0" fontId="12" numFmtId="49" xfId="0" applyAlignment="1" applyBorder="1" applyFont="1" applyNumberFormat="1">
      <alignment horizontal="center"/>
    </xf>
    <xf borderId="14" fillId="0" fontId="18" numFmtId="49" xfId="0" applyBorder="1" applyFont="1" applyNumberFormat="1"/>
    <xf borderId="14" fillId="0" fontId="12" numFmtId="49" xfId="0" applyAlignment="1" applyBorder="1" applyFont="1" applyNumberFormat="1">
      <alignment horizontal="center" readingOrder="0"/>
    </xf>
    <xf borderId="14" fillId="0" fontId="11" numFmtId="0" xfId="0" applyAlignment="1" applyBorder="1" applyFont="1">
      <alignment readingOrder="0" shrinkToFit="0" vertical="center" wrapText="1"/>
    </xf>
    <xf borderId="14" fillId="0" fontId="11" numFmtId="0" xfId="0" applyAlignment="1" applyBorder="1" applyFont="1">
      <alignment shrinkToFit="0" vertical="center" wrapText="1"/>
    </xf>
    <xf borderId="14" fillId="8" fontId="11" numFmtId="0" xfId="0" applyAlignment="1" applyBorder="1" applyFill="1" applyFont="1">
      <alignment shrinkToFit="0" wrapText="1"/>
    </xf>
    <xf borderId="14" fillId="9" fontId="11" numFmtId="0" xfId="0" applyAlignment="1" applyBorder="1" applyFill="1" applyFont="1">
      <alignment shrinkToFit="0" vertical="center" wrapText="1"/>
    </xf>
    <xf borderId="14" fillId="0" fontId="11" numFmtId="0" xfId="0" applyAlignment="1" applyBorder="1" applyFont="1">
      <alignment shrinkToFit="0" vertical="bottom" wrapText="1"/>
    </xf>
    <xf borderId="14" fillId="0" fontId="11" numFmtId="0" xfId="0" applyAlignment="1" applyBorder="1" applyFont="1">
      <alignment vertical="bottom"/>
    </xf>
    <xf borderId="14" fillId="0" fontId="18" numFmtId="0" xfId="0" applyBorder="1" applyFont="1"/>
    <xf borderId="14" fillId="0" fontId="18" numFmtId="0" xfId="0" applyAlignment="1" applyBorder="1" applyFont="1">
      <alignment vertical="bottom"/>
    </xf>
    <xf borderId="15" fillId="0" fontId="18" numFmtId="0" xfId="0" applyBorder="1" applyFont="1"/>
    <xf borderId="14" fillId="0" fontId="14" numFmtId="0" xfId="0" applyAlignment="1" applyBorder="1" applyFont="1">
      <alignment horizontal="center"/>
    </xf>
    <xf borderId="22" fillId="0" fontId="4" numFmtId="0" xfId="0" applyBorder="1" applyFont="1"/>
    <xf borderId="23" fillId="0" fontId="12" numFmtId="0" xfId="0" applyBorder="1" applyFont="1"/>
    <xf borderId="23" fillId="0" fontId="18" numFmtId="0" xfId="0" applyBorder="1" applyFont="1"/>
    <xf borderId="23" fillId="0" fontId="8" numFmtId="49" xfId="0" applyAlignment="1" applyBorder="1" applyFont="1" applyNumberFormat="1">
      <alignment horizontal="center"/>
    </xf>
    <xf borderId="24" fillId="0" fontId="12" numFmtId="0" xfId="0" applyBorder="1" applyFont="1"/>
    <xf borderId="24" fillId="0" fontId="18" numFmtId="0" xfId="0" applyBorder="1" applyFont="1"/>
    <xf borderId="24" fillId="0" fontId="8" numFmtId="49" xfId="0" applyAlignment="1" applyBorder="1" applyFont="1" applyNumberFormat="1">
      <alignment horizontal="center"/>
    </xf>
    <xf borderId="24" fillId="0" fontId="8" numFmtId="0" xfId="0" applyAlignment="1" applyBorder="1" applyFont="1">
      <alignment horizontal="center"/>
    </xf>
    <xf borderId="24" fillId="4" fontId="11" numFmtId="0" xfId="0" applyAlignment="1" applyBorder="1" applyFont="1">
      <alignment horizontal="center"/>
    </xf>
    <xf borderId="24" fillId="10" fontId="12" numFmtId="49" xfId="0" applyAlignment="1" applyBorder="1" applyFill="1" applyFont="1" applyNumberFormat="1">
      <alignment horizontal="center" shrinkToFit="0" wrapText="1"/>
    </xf>
    <xf borderId="24" fillId="11" fontId="12" numFmtId="49" xfId="0" applyAlignment="1" applyBorder="1" applyFill="1" applyFont="1" applyNumberFormat="1">
      <alignment horizontal="center" shrinkToFit="0" wrapText="1"/>
    </xf>
    <xf borderId="0" fillId="0" fontId="14" numFmtId="0" xfId="0" applyAlignment="1" applyFont="1">
      <alignment horizontal="center" vertical="center"/>
    </xf>
    <xf borderId="24" fillId="11" fontId="12" numFmtId="0" xfId="0" applyAlignment="1" applyBorder="1" applyFont="1">
      <alignment shrinkToFit="0" wrapText="1"/>
    </xf>
    <xf borderId="24" fillId="11" fontId="12" numFmtId="0" xfId="0" applyAlignment="1" applyBorder="1" applyFont="1">
      <alignment readingOrder="0" shrinkToFit="0" wrapText="1"/>
    </xf>
    <xf borderId="24" fillId="0" fontId="12" numFmtId="0" xfId="0" applyAlignment="1" applyBorder="1" applyFont="1">
      <alignment shrinkToFit="0" wrapText="1"/>
    </xf>
    <xf borderId="24" fillId="0" fontId="12" numFmtId="0" xfId="0" applyAlignment="1" applyBorder="1" applyFont="1">
      <alignment readingOrder="0" shrinkToFit="0" wrapText="1"/>
    </xf>
    <xf borderId="0" fillId="4" fontId="18" numFmtId="0" xfId="0" applyFont="1"/>
    <xf borderId="14" fillId="0" fontId="19" numFmtId="0" xfId="0" applyBorder="1" applyFont="1"/>
    <xf borderId="24" fillId="4" fontId="11" numFmtId="0" xfId="0" applyAlignment="1" applyBorder="1" applyFont="1">
      <alignment horizontal="center" readingOrder="0"/>
    </xf>
    <xf borderId="24" fillId="12" fontId="12" numFmtId="0" xfId="0" applyAlignment="1" applyBorder="1" applyFill="1" applyFont="1">
      <alignment shrinkToFit="0" wrapText="1"/>
    </xf>
    <xf borderId="25" fillId="13" fontId="20" numFmtId="0" xfId="0" applyAlignment="1" applyBorder="1" applyFill="1" applyFont="1">
      <alignment horizontal="center"/>
    </xf>
    <xf borderId="26" fillId="0" fontId="4" numFmtId="0" xfId="0" applyBorder="1" applyFont="1"/>
    <xf borderId="27" fillId="0" fontId="4" numFmtId="0" xfId="0" applyBorder="1" applyFont="1"/>
    <xf borderId="28" fillId="3" fontId="20" numFmtId="0" xfId="0" applyAlignment="1" applyBorder="1" applyFont="1">
      <alignment horizontal="center"/>
    </xf>
    <xf borderId="28" fillId="0" fontId="20" numFmtId="0" xfId="0" applyAlignment="1" applyBorder="1" applyFont="1">
      <alignment horizontal="center"/>
    </xf>
    <xf borderId="28" fillId="0" fontId="18" numFmtId="0" xfId="0" applyAlignment="1" applyBorder="1" applyFont="1">
      <alignment horizontal="center"/>
    </xf>
    <xf borderId="28" fillId="0" fontId="18" numFmtId="0" xfId="0" applyBorder="1" applyFont="1"/>
    <xf borderId="14" fillId="0" fontId="8" numFmtId="0" xfId="0" applyAlignment="1" applyBorder="1" applyFont="1">
      <alignment horizontal="center" shrinkToFit="0" vertical="center" wrapText="1"/>
    </xf>
    <xf borderId="23" fillId="10" fontId="12" numFmtId="49" xfId="0" applyAlignment="1" applyBorder="1" applyFont="1" applyNumberFormat="1">
      <alignment horizontal="center" shrinkToFit="0" wrapText="1"/>
    </xf>
    <xf borderId="23" fillId="0" fontId="12" numFmtId="0" xfId="0" applyAlignment="1" applyBorder="1" applyFont="1">
      <alignment shrinkToFit="0" wrapText="1"/>
    </xf>
    <xf borderId="24" fillId="7" fontId="12" numFmtId="0" xfId="0" applyAlignment="1" applyBorder="1" applyFont="1">
      <alignment shrinkToFit="0" wrapText="1"/>
    </xf>
    <xf borderId="24" fillId="7" fontId="12" numFmtId="49" xfId="0" applyAlignment="1" applyBorder="1" applyFont="1" applyNumberFormat="1">
      <alignment horizontal="center" shrinkToFit="0" wrapText="1"/>
    </xf>
    <xf borderId="24" fillId="10" fontId="18" numFmtId="49" xfId="0" applyBorder="1" applyFont="1" applyNumberFormat="1"/>
    <xf borderId="24" fillId="12" fontId="12" numFmtId="49" xfId="0" applyAlignment="1" applyBorder="1" applyFont="1" applyNumberFormat="1">
      <alignment horizontal="center" shrinkToFit="0" wrapText="1"/>
    </xf>
    <xf borderId="29" fillId="0" fontId="14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 shrinkToFit="0" vertical="center" wrapText="1"/>
    </xf>
    <xf borderId="30" fillId="0" fontId="21" numFmtId="0" xfId="0" applyAlignment="1" applyBorder="1" applyFont="1">
      <alignment horizontal="left" vertical="center"/>
    </xf>
    <xf borderId="31" fillId="0" fontId="21" numFmtId="0" xfId="0" applyAlignment="1" applyBorder="1" applyFont="1">
      <alignment horizontal="left" vertical="center"/>
    </xf>
    <xf borderId="32" fillId="0" fontId="21" numFmtId="0" xfId="0" applyAlignment="1" applyBorder="1" applyFont="1">
      <alignment horizontal="left" vertical="center"/>
    </xf>
    <xf borderId="33" fillId="0" fontId="22" numFmtId="0" xfId="0" applyAlignment="1" applyBorder="1" applyFont="1">
      <alignment vertical="center"/>
    </xf>
    <xf borderId="10" fillId="0" fontId="22" numFmtId="164" xfId="0" applyAlignment="1" applyBorder="1" applyFont="1" applyNumberFormat="1">
      <alignment horizontal="center" vertical="center"/>
    </xf>
    <xf borderId="10" fillId="0" fontId="22" numFmtId="0" xfId="0" applyAlignment="1" applyBorder="1" applyFont="1">
      <alignment vertical="center"/>
    </xf>
    <xf borderId="34" fillId="0" fontId="22" numFmtId="0" xfId="0" applyAlignment="1" applyBorder="1" applyFont="1">
      <alignment vertical="center"/>
    </xf>
    <xf borderId="0" fillId="0" fontId="18" numFmtId="0" xfId="0" applyFont="1"/>
    <xf borderId="35" fillId="0" fontId="22" numFmtId="164" xfId="0" applyAlignment="1" applyBorder="1" applyFont="1" applyNumberFormat="1">
      <alignment horizontal="center" vertical="center"/>
    </xf>
    <xf borderId="35" fillId="0" fontId="22" numFmtId="0" xfId="0" applyAlignment="1" applyBorder="1" applyFont="1">
      <alignment vertical="center"/>
    </xf>
    <xf borderId="36" fillId="0" fontId="22" numFmtId="0" xfId="0" applyAlignment="1" applyBorder="1" applyFont="1">
      <alignment vertical="center"/>
    </xf>
    <xf borderId="37" fillId="0" fontId="22" numFmtId="0" xfId="0" applyAlignment="1" applyBorder="1" applyFont="1">
      <alignment vertical="center"/>
    </xf>
    <xf borderId="34" fillId="0" fontId="22" numFmtId="0" xfId="0" applyAlignment="1" applyBorder="1" applyFont="1">
      <alignment shrinkToFit="0" vertical="center" wrapText="1"/>
    </xf>
    <xf borderId="10" fillId="0" fontId="23" numFmtId="164" xfId="0" applyAlignment="1" applyBorder="1" applyFont="1" applyNumberFormat="1">
      <alignment horizontal="center" vertical="center"/>
    </xf>
    <xf borderId="38" fillId="0" fontId="22" numFmtId="0" xfId="0" applyAlignment="1" applyBorder="1" applyFont="1">
      <alignment vertical="center"/>
    </xf>
    <xf borderId="39" fillId="0" fontId="22" numFmtId="164" xfId="0" applyAlignment="1" applyBorder="1" applyFont="1" applyNumberFormat="1">
      <alignment horizontal="center" vertical="center"/>
    </xf>
    <xf borderId="39" fillId="0" fontId="22" numFmtId="0" xfId="0" applyAlignment="1" applyBorder="1" applyFont="1">
      <alignment vertical="center"/>
    </xf>
    <xf borderId="40" fillId="0" fontId="22" numFmtId="0" xfId="0" applyAlignment="1" applyBorder="1" applyFont="1">
      <alignment vertical="center"/>
    </xf>
    <xf borderId="10" fillId="0" fontId="22" numFmtId="49" xfId="0" applyAlignment="1" applyBorder="1" applyFont="1" applyNumberFormat="1">
      <alignment horizontal="center" vertical="center"/>
    </xf>
    <xf borderId="0" fillId="0" fontId="19" numFmtId="0" xfId="0" applyFont="1"/>
    <xf borderId="41" fillId="0" fontId="22" numFmtId="49" xfId="0" applyAlignment="1" applyBorder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Tab-style">
      <tableStyleElement dxfId="1" type="headerRow"/>
      <tableStyleElement dxfId="2" type="firstRowStripe"/>
      <tableStyleElement dxfId="3" type="secondRowStripe"/>
    </tableStyle>
    <tableStyle count="3" pivot="0" name="Tab-style 2">
      <tableStyleElement dxfId="1" type="headerRow"/>
      <tableStyleElement dxfId="2" type="firstRowStripe"/>
      <tableStyleElement dxfId="3" type="secondRowStripe"/>
    </tableStyle>
    <tableStyle count="2" pivot="0" name="Tab-style 3"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3840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76200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3840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3840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38100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9525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9525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85725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</xdr:row>
      <xdr:rowOff>85725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57150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57150</xdr:rowOff>
    </xdr:from>
    <xdr:ext cx="1876425" cy="485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6" displayName="Table_1" name="Table_1" id="1">
  <tableColumns count="4">
    <tableColumn name="Categoria" id="1"/>
    <tableColumn name="ID do Parâmetro" id="2"/>
    <tableColumn name="Parâmetros Essenciais" id="3"/>
    <tableColumn name="Limites da Qualificação" id="4"/>
  </tableColumns>
  <tableStyleInfo name="Tab-style" showColumnStripes="0" showFirstColumn="1" showLastColumn="1" showRowStripes="1"/>
</table>
</file>

<file path=xl/tables/table2.xml><?xml version="1.0" encoding="utf-8"?>
<table xmlns="http://schemas.openxmlformats.org/spreadsheetml/2006/main" ref="A22:D41" displayName="Table_2" name="Table_2" id="2">
  <tableColumns count="4">
    <tableColumn name="Categoria" id="1"/>
    <tableColumn name="ID do Parâmetro" id="2"/>
    <tableColumn name="Parâmetros Essenciais" id="3"/>
    <tableColumn name="Limites da Qualificação" id="4"/>
  </tableColumns>
  <tableStyleInfo name="Tab-style 2" showColumnStripes="0" showFirstColumn="1" showLastColumn="1" showRowStripes="1"/>
</table>
</file>

<file path=xl/tables/table3.xml><?xml version="1.0" encoding="utf-8"?>
<table xmlns="http://schemas.openxmlformats.org/spreadsheetml/2006/main" headerRowCount="0" ref="J23:L42" displayName="Table_3" name="Table_3" id="3">
  <tableColumns count="3">
    <tableColumn name="Column1" id="1"/>
    <tableColumn name="Column2" id="2"/>
    <tableColumn name="Column3" id="3"/>
  </tableColumns>
  <tableStyleInfo name="Tab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3.75"/>
    <col customWidth="1" min="2" max="2" width="49.13"/>
    <col customWidth="1" min="3" max="3" width="59.75"/>
    <col customWidth="1" min="4" max="4" width="37.0"/>
    <col customWidth="1" hidden="1" min="5" max="5" width="9.13"/>
    <col customWidth="1" hidden="1" min="6" max="6" width="13.75"/>
    <col customWidth="1" hidden="1" min="7" max="26" width="8.63"/>
  </cols>
  <sheetData>
    <row r="1" ht="50.25" customHeight="1">
      <c r="A1" s="1"/>
      <c r="B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1</v>
      </c>
      <c r="B2" s="5"/>
      <c r="C2" s="5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7" t="s">
        <v>2</v>
      </c>
      <c r="B3" s="8" t="s">
        <v>3</v>
      </c>
      <c r="C3" s="7" t="s">
        <v>4</v>
      </c>
      <c r="D3" s="8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9" t="s">
        <v>6</v>
      </c>
      <c r="B4" s="10"/>
      <c r="C4" s="9" t="str">
        <f>IFERROR(__xludf.DUMMYFUNCTION("GOOGLETRANSLATE(A4,""pt"",""en"")"),"Title:")</f>
        <v>Title:</v>
      </c>
      <c r="D4" s="10" t="str">
        <f>IFERROR(__xludf.DUMMYFUNCTION("GOOGLETRANSLATE(B4,""pt"",""en"")"),"#VALUE!")</f>
        <v>#VALUE!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9" t="s">
        <v>6</v>
      </c>
      <c r="B5" s="10"/>
      <c r="C5" s="9" t="str">
        <f>IFERROR(__xludf.DUMMYFUNCTION("GOOGLETRANSLATE(A5,""pt"",""en"")"),"Title:")</f>
        <v>Title:</v>
      </c>
      <c r="D5" s="10" t="str">
        <f>IFERROR(__xludf.DUMMYFUNCTION("GOOGLETRANSLATE(B5,""pt"",""en"")"),"#VALUE!")</f>
        <v>#VALUE!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9" t="s">
        <v>6</v>
      </c>
      <c r="B6" s="10"/>
      <c r="C6" s="9" t="str">
        <f>IFERROR(__xludf.DUMMYFUNCTION("GOOGLETRANSLATE(A6,""pt"",""en"")"),"Title:")</f>
        <v>Title:</v>
      </c>
      <c r="D6" s="10" t="str">
        <f>IFERROR(__xludf.DUMMYFUNCTION("GOOGLETRANSLATE(B6,""pt"",""en"")"),"#VALUE!")</f>
        <v>#VALUE!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9" t="s">
        <v>6</v>
      </c>
      <c r="B7" s="10"/>
      <c r="C7" s="9" t="str">
        <f>IFERROR(__xludf.DUMMYFUNCTION("GOOGLETRANSLATE(A7,""pt"",""en"")"),"Title:")</f>
        <v>Title:</v>
      </c>
      <c r="D7" s="10" t="str">
        <f>IFERROR(__xludf.DUMMYFUNCTION("GOOGLETRANSLATE(B7,""pt"",""en"")"),"#VALUE!")</f>
        <v>#VALUE!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9" t="s">
        <v>6</v>
      </c>
      <c r="B8" s="10"/>
      <c r="C8" s="9" t="str">
        <f>IFERROR(__xludf.DUMMYFUNCTION("GOOGLETRANSLATE(A8,""pt"",""en"")"),"Title:")</f>
        <v>Title:</v>
      </c>
      <c r="D8" s="10" t="str">
        <f>IFERROR(__xludf.DUMMYFUNCTION("GOOGLETRANSLATE(B8,""pt"",""en"")"),"#VALUE!")</f>
        <v>#VALUE!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9" t="s">
        <v>6</v>
      </c>
      <c r="B9" s="10"/>
      <c r="C9" s="9" t="str">
        <f>IFERROR(__xludf.DUMMYFUNCTION("GOOGLETRANSLATE(A9,""pt"",""en"")"),"Title:")</f>
        <v>Title:</v>
      </c>
      <c r="D9" s="10" t="str">
        <f>IFERROR(__xludf.DUMMYFUNCTION("GOOGLETRANSLATE(B9,""pt"",""en"")"),"#VALUE!")</f>
        <v>#VALUE!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9" t="s">
        <v>6</v>
      </c>
      <c r="B10" s="10"/>
      <c r="C10" s="9" t="str">
        <f>IFERROR(__xludf.DUMMYFUNCTION("GOOGLETRANSLATE(A10,""pt"",""en"")"),"Title:")</f>
        <v>Title:</v>
      </c>
      <c r="D10" s="10" t="str">
        <f>IFERROR(__xludf.DUMMYFUNCTION("GOOGLETRANSLATE(B10,""pt"",""en"")"),"#VALUE!")</f>
        <v>#VALUE!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9" t="s">
        <v>6</v>
      </c>
      <c r="B11" s="10"/>
      <c r="C11" s="9" t="str">
        <f>IFERROR(__xludf.DUMMYFUNCTION("GOOGLETRANSLATE(A11,""pt"",""en"")"),"Title:")</f>
        <v>Title:</v>
      </c>
      <c r="D11" s="10" t="str">
        <f>IFERROR(__xludf.DUMMYFUNCTION("GOOGLETRANSLATE(B11,""pt"",""en"")"),"#VALUE!")</f>
        <v>#VALUE!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9" t="s">
        <v>6</v>
      </c>
      <c r="B12" s="10"/>
      <c r="C12" s="9" t="str">
        <f>IFERROR(__xludf.DUMMYFUNCTION("GOOGLETRANSLATE(A12,""pt"",""en"")"),"Title:")</f>
        <v>Title:</v>
      </c>
      <c r="D12" s="10" t="str">
        <f>IFERROR(__xludf.DUMMYFUNCTION("GOOGLETRANSLATE(B12,""pt"",""en"")"),"#VALUE!")</f>
        <v>#VALUE!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9" t="s">
        <v>6</v>
      </c>
      <c r="B13" s="10"/>
      <c r="C13" s="9" t="str">
        <f>IFERROR(__xludf.DUMMYFUNCTION("GOOGLETRANSLATE(A13,""pt"",""en"")"),"Title:")</f>
        <v>Title:</v>
      </c>
      <c r="D13" s="10" t="str">
        <f>IFERROR(__xludf.DUMMYFUNCTION("GOOGLETRANSLATE(B13,""pt"",""en"")"),"#VALUE!")</f>
        <v>#VALUE!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9" t="s">
        <v>6</v>
      </c>
      <c r="B14" s="10"/>
      <c r="C14" s="9" t="str">
        <f>IFERROR(__xludf.DUMMYFUNCTION("GOOGLETRANSLATE(A14,""pt"",""en"")"),"Title:")</f>
        <v>Title:</v>
      </c>
      <c r="D14" s="10" t="str">
        <f>IFERROR(__xludf.DUMMYFUNCTION("GOOGLETRANSLATE(B14,""pt"",""en"")"),"#VALUE!")</f>
        <v>#VALUE!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9" t="s">
        <v>6</v>
      </c>
      <c r="B15" s="10"/>
      <c r="C15" s="9" t="str">
        <f>IFERROR(__xludf.DUMMYFUNCTION("GOOGLETRANSLATE(A15,""pt"",""en"")"),"Title:")</f>
        <v>Title:</v>
      </c>
      <c r="D15" s="10" t="str">
        <f>IFERROR(__xludf.DUMMYFUNCTION("GOOGLETRANSLATE(B15,""pt"",""en"")"),"#VALUE!")</f>
        <v>#VALUE!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9" t="s">
        <v>6</v>
      </c>
      <c r="B16" s="10"/>
      <c r="C16" s="9" t="str">
        <f>IFERROR(__xludf.DUMMYFUNCTION("GOOGLETRANSLATE(A16,""pt"",""en"")"),"Title:")</f>
        <v>Title:</v>
      </c>
      <c r="D16" s="10" t="str">
        <f>IFERROR(__xludf.DUMMYFUNCTION("GOOGLETRANSLATE(B16,""pt"",""en"")"),"#VALUE!")</f>
        <v>#VALUE!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9" t="s">
        <v>6</v>
      </c>
      <c r="B17" s="10"/>
      <c r="C17" s="9" t="str">
        <f>IFERROR(__xludf.DUMMYFUNCTION("GOOGLETRANSLATE(A17,""pt"",""en"")"),"Title:")</f>
        <v>Title:</v>
      </c>
      <c r="D17" s="10" t="str">
        <f>IFERROR(__xludf.DUMMYFUNCTION("GOOGLETRANSLATE(B17,""pt"",""en"")"),"#VALUE!")</f>
        <v>#VALUE!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9" t="s">
        <v>6</v>
      </c>
      <c r="B18" s="10"/>
      <c r="C18" s="9" t="str">
        <f>IFERROR(__xludf.DUMMYFUNCTION("GOOGLETRANSLATE(A18,""pt"",""en"")"),"Title:")</f>
        <v>Title:</v>
      </c>
      <c r="D18" s="10" t="str">
        <f>IFERROR(__xludf.DUMMYFUNCTION("GOOGLETRANSLATE(B18,""pt"",""en"")"),"#VALUE!")</f>
        <v>#VALUE!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 t="s">
        <v>6</v>
      </c>
      <c r="B19" s="10"/>
      <c r="C19" s="9" t="str">
        <f>IFERROR(__xludf.DUMMYFUNCTION("GOOGLETRANSLATE(A19,""pt"",""en"")"),"Title:")</f>
        <v>Title:</v>
      </c>
      <c r="D19" s="10" t="str">
        <f>IFERROR(__xludf.DUMMYFUNCTION("GOOGLETRANSLATE(B19,""pt"",""en"")"),"#VALUE!")</f>
        <v>#VALUE!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 t="s">
        <v>6</v>
      </c>
      <c r="B20" s="10"/>
      <c r="C20" s="9" t="str">
        <f>IFERROR(__xludf.DUMMYFUNCTION("GOOGLETRANSLATE(A20,""pt"",""en"")"),"Title:")</f>
        <v>Title:</v>
      </c>
      <c r="D20" s="10" t="str">
        <f>IFERROR(__xludf.DUMMYFUNCTION("GOOGLETRANSLATE(B20,""pt"",""en"")"),"#VALUE!")</f>
        <v>#VALUE!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 t="s">
        <v>6</v>
      </c>
      <c r="B21" s="11"/>
      <c r="C21" s="9" t="str">
        <f>IFERROR(__xludf.DUMMYFUNCTION("GOOGLETRANSLATE(A21,""pt"",""en"")"),"Title:")</f>
        <v>Title:</v>
      </c>
      <c r="D21" s="10" t="str">
        <f>IFERROR(__xludf.DUMMYFUNCTION("GOOGLETRANSLATE(B21,""pt"",""en"")"),"#VALUE!")</f>
        <v>#VALUE!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 t="s">
        <v>6</v>
      </c>
      <c r="B22" s="11"/>
      <c r="C22" s="9" t="str">
        <f>IFERROR(__xludf.DUMMYFUNCTION("GOOGLETRANSLATE(A22,""pt"",""en"")"),"Title:")</f>
        <v>Title:</v>
      </c>
      <c r="D22" s="10" t="str">
        <f>IFERROR(__xludf.DUMMYFUNCTION("GOOGLETRANSLATE(B22,""pt"",""en"")"),"#VALUE!")</f>
        <v>#VALUE!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 t="s">
        <v>6</v>
      </c>
      <c r="B23" s="11"/>
      <c r="C23" s="9" t="str">
        <f>IFERROR(__xludf.DUMMYFUNCTION("GOOGLETRANSLATE(A23,""pt"",""en"")"),"Title:")</f>
        <v>Title:</v>
      </c>
      <c r="D23" s="10" t="str">
        <f>IFERROR(__xludf.DUMMYFUNCTION("GOOGLETRANSLATE(B23,""pt"",""en"")"),"#VALUE!")</f>
        <v>#VALUE!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 t="s">
        <v>6</v>
      </c>
      <c r="B24" s="11"/>
      <c r="C24" s="9" t="str">
        <f>IFERROR(__xludf.DUMMYFUNCTION("GOOGLETRANSLATE(A24,""pt"",""en"")"),"Title:")</f>
        <v>Title:</v>
      </c>
      <c r="D24" s="10" t="str">
        <f>IFERROR(__xludf.DUMMYFUNCTION("GOOGLETRANSLATE(B24,""pt"",""en"")"),"#VALUE!")</f>
        <v>#VALUE!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 t="s">
        <v>6</v>
      </c>
      <c r="B25" s="11"/>
      <c r="C25" s="9" t="str">
        <f>IFERROR(__xludf.DUMMYFUNCTION("GOOGLETRANSLATE(A25,""pt"",""en"")"),"Title:")</f>
        <v>Title:</v>
      </c>
      <c r="D25" s="10" t="str">
        <f>IFERROR(__xludf.DUMMYFUNCTION("GOOGLETRANSLATE(B25,""pt"",""en"")"),"#VALUE!")</f>
        <v>#VALUE!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 t="s">
        <v>6</v>
      </c>
      <c r="B26" s="11"/>
      <c r="C26" s="9" t="str">
        <f>IFERROR(__xludf.DUMMYFUNCTION("GOOGLETRANSLATE(A26,""pt"",""en"")"),"Title:")</f>
        <v>Title:</v>
      </c>
      <c r="D26" s="10" t="str">
        <f>IFERROR(__xludf.DUMMYFUNCTION("GOOGLETRANSLATE(B26,""pt"",""en"")"),"#VALUE!")</f>
        <v>#VALUE!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 t="s">
        <v>6</v>
      </c>
      <c r="B27" s="11"/>
      <c r="C27" s="9" t="str">
        <f>IFERROR(__xludf.DUMMYFUNCTION("GOOGLETRANSLATE(A27,""pt"",""en"")"),"Title:")</f>
        <v>Title:</v>
      </c>
      <c r="D27" s="10" t="str">
        <f>IFERROR(__xludf.DUMMYFUNCTION("GOOGLETRANSLATE(B27,""pt"",""en"")"),"#VALUE!")</f>
        <v>#VALUE!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 t="s">
        <v>6</v>
      </c>
      <c r="B28" s="11"/>
      <c r="C28" s="9" t="str">
        <f>IFERROR(__xludf.DUMMYFUNCTION("GOOGLETRANSLATE(A28,""pt"",""en"")"),"Title:")</f>
        <v>Title:</v>
      </c>
      <c r="D28" s="10" t="str">
        <f>IFERROR(__xludf.DUMMYFUNCTION("GOOGLETRANSLATE(B28,""pt"",""en"")"),"#VALUE!")</f>
        <v>#VALUE!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 t="s">
        <v>6</v>
      </c>
      <c r="B29" s="11"/>
      <c r="C29" s="9" t="str">
        <f>IFERROR(__xludf.DUMMYFUNCTION("GOOGLETRANSLATE(A29,""pt"",""en"")"),"Title:")</f>
        <v>Title:</v>
      </c>
      <c r="D29" s="10" t="str">
        <f>IFERROR(__xludf.DUMMYFUNCTION("GOOGLETRANSLATE(B29,""pt"",""en"")"),"#VALUE!")</f>
        <v>#VALUE!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 t="s">
        <v>6</v>
      </c>
      <c r="B30" s="11"/>
      <c r="C30" s="9" t="str">
        <f>IFERROR(__xludf.DUMMYFUNCTION("GOOGLETRANSLATE(A30,""pt"",""en"")"),"Title:")</f>
        <v>Title:</v>
      </c>
      <c r="D30" s="10" t="str">
        <f>IFERROR(__xludf.DUMMYFUNCTION("GOOGLETRANSLATE(B30,""pt"",""en"")"),"#VALUE!")</f>
        <v>#VALUE!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 t="s">
        <v>6</v>
      </c>
      <c r="B31" s="10"/>
      <c r="C31" s="9" t="str">
        <f>IFERROR(__xludf.DUMMYFUNCTION("GOOGLETRANSLATE(A31,""pt"",""en"")"),"Title:")</f>
        <v>Title:</v>
      </c>
      <c r="D31" s="10" t="str">
        <f>IFERROR(__xludf.DUMMYFUNCTION("GOOGLETRANSLATE(B31,""pt"",""en"")"),"#VALUE!")</f>
        <v>#VALUE!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 t="s">
        <v>6</v>
      </c>
      <c r="B32" s="10"/>
      <c r="C32" s="9" t="str">
        <f>IFERROR(__xludf.DUMMYFUNCTION("GOOGLETRANSLATE(A32,""pt"",""en"")"),"Title:")</f>
        <v>Title:</v>
      </c>
      <c r="D32" s="10" t="str">
        <f>IFERROR(__xludf.DUMMYFUNCTION("GOOGLETRANSLATE(B32,""pt"",""en"")"),"#VALUE!")</f>
        <v>#VALUE!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 t="s">
        <v>6</v>
      </c>
      <c r="B33" s="10"/>
      <c r="C33" s="9" t="str">
        <f>IFERROR(__xludf.DUMMYFUNCTION("GOOGLETRANSLATE(A33,""pt"",""en"")"),"Title:")</f>
        <v>Title:</v>
      </c>
      <c r="D33" s="10" t="str">
        <f>IFERROR(__xludf.DUMMYFUNCTION("GOOGLETRANSLATE(B33,""pt"",""en"")"),"#VALUE!")</f>
        <v>#VALUE!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 t="s">
        <v>6</v>
      </c>
      <c r="B34" s="10"/>
      <c r="C34" s="9" t="str">
        <f>IFERROR(__xludf.DUMMYFUNCTION("GOOGLETRANSLATE(A34,""pt"",""en"")"),"Title:")</f>
        <v>Title:</v>
      </c>
      <c r="D34" s="10" t="str">
        <f>IFERROR(__xludf.DUMMYFUNCTION("GOOGLETRANSLATE(B34,""pt"",""en"")"),"#VALUE!")</f>
        <v>#VALUE!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 t="s">
        <v>6</v>
      </c>
      <c r="B35" s="10"/>
      <c r="C35" s="9" t="str">
        <f>IFERROR(__xludf.DUMMYFUNCTION("GOOGLETRANSLATE(A35,""pt"",""en"")"),"Title:")</f>
        <v>Title:</v>
      </c>
      <c r="D35" s="10" t="str">
        <f>IFERROR(__xludf.DUMMYFUNCTION("GOOGLETRANSLATE(B35,""pt"",""en"")"),"#VALUE!")</f>
        <v>#VALUE!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 t="s">
        <v>6</v>
      </c>
      <c r="B36" s="10"/>
      <c r="C36" s="9" t="str">
        <f>IFERROR(__xludf.DUMMYFUNCTION("GOOGLETRANSLATE(A36,""pt"",""en"")"),"Title:")</f>
        <v>Title:</v>
      </c>
      <c r="D36" s="10" t="str">
        <f>IFERROR(__xludf.DUMMYFUNCTION("GOOGLETRANSLATE(B36,""pt"",""en"")"),"#VALUE!")</f>
        <v>#VALUE!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 t="s">
        <v>6</v>
      </c>
      <c r="B37" s="10"/>
      <c r="C37" s="9" t="str">
        <f>IFERROR(__xludf.DUMMYFUNCTION("GOOGLETRANSLATE(A37,""pt"",""en"")"),"Title:")</f>
        <v>Title:</v>
      </c>
      <c r="D37" s="10" t="str">
        <f>IFERROR(__xludf.DUMMYFUNCTION("GOOGLETRANSLATE(B37,""pt"",""en"")"),"#VALUE!")</f>
        <v>#VALUE!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2" t="s">
        <v>7</v>
      </c>
      <c r="B38" s="12" t="s">
        <v>8</v>
      </c>
      <c r="C38" s="12" t="s">
        <v>9</v>
      </c>
      <c r="D38" s="12" t="s">
        <v>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1:C1"/>
    <mergeCell ref="A2:D2"/>
  </mergeCells>
  <dataValidations>
    <dataValidation type="list" allowBlank="1" showErrorMessage="1" sqref="B30">
      <formula1>"-,Sim,Não"</formula1>
    </dataValidation>
    <dataValidation type="list" allowBlank="1" showErrorMessage="1" sqref="B23">
      <formula1>"-,TPG,TCM,Radial Slicer,Magics"</formula1>
    </dataValidation>
    <dataValidation type="list" allowBlank="1" showErrorMessage="1" sqref="B26">
      <formula1>"-,Hoganas,Sandivik,Tekna"</formula1>
    </dataValidation>
    <dataValidation type="list" allowBlank="1" showErrorMessage="1" sqref="B22">
      <formula1>"-,Powder Feeder,Carretel de arame"</formula1>
    </dataValidation>
    <dataValidation type="list" allowBlank="1" showErrorMessage="1" sqref="B21">
      <formula1>"-,Laser Line,IPG"</formula1>
    </dataValidation>
    <dataValidation type="list" allowBlank="1" showErrorMessage="1" sqref="B24">
      <formula1>"-,Inerte,Aberta"</formula1>
    </dataValidation>
    <dataValidation type="list" allowBlank="1" showErrorMessage="1" sqref="B27:B28">
      <formula1>"-,Argônio"</formula1>
    </dataValidation>
    <dataValidation type="list" allowBlank="1" showErrorMessage="1" sqref="B29">
      <formula1>"-,AISI 304,Aluminio,Cobre"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13"/>
    <col customWidth="1" min="2" max="2" width="51.38"/>
    <col customWidth="1" min="3" max="3" width="54.88"/>
    <col customWidth="1" min="4" max="4" width="59.13"/>
    <col customWidth="1" hidden="1" min="5" max="5" width="9.13"/>
    <col customWidth="1" hidden="1" min="6" max="6" width="13.75"/>
    <col customWidth="1" hidden="1" min="7" max="26" width="8.63"/>
  </cols>
  <sheetData>
    <row r="1" ht="3.75" customHeight="1">
      <c r="A1" s="13"/>
      <c r="B1" s="14"/>
      <c r="C1" s="14"/>
      <c r="D1" s="13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50.25" customHeight="1">
      <c r="A2" s="16"/>
      <c r="B2" s="17" t="s">
        <v>11</v>
      </c>
      <c r="C2" s="18"/>
      <c r="D2" s="19" t="s">
        <v>12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7.25" customHeight="1">
      <c r="A3" s="22" t="s">
        <v>1</v>
      </c>
      <c r="B3" s="23"/>
      <c r="C3" s="23"/>
      <c r="D3" s="2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25" t="s">
        <v>13</v>
      </c>
      <c r="B4" s="26" t="s">
        <v>3</v>
      </c>
      <c r="C4" s="25" t="s">
        <v>14</v>
      </c>
      <c r="D4" s="26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27" t="s">
        <v>15</v>
      </c>
      <c r="B5" s="28"/>
      <c r="C5" s="27" t="str">
        <f>IFERROR(__xludf.DUMMYFUNCTION("GOOGLETRANSLATE(A5,""pt"",""en"")"),"1. IDENTIFICATION OF DEMAND")</f>
        <v>1. IDENTIFICATION OF DEMAND</v>
      </c>
      <c r="D5" s="29" t="str">
        <f>IFERROR(__xludf.DUMMYFUNCTION("GOOGLETRANSLATE(B5,""pt"",""en"")"),"#VALUE!")</f>
        <v>#VALUE!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30" t="s">
        <v>16</v>
      </c>
      <c r="B6" s="31"/>
      <c r="C6" s="30" t="str">
        <f>IFERROR(__xludf.DUMMYFUNCTION("GOOGLETRANSLATE(A6,""pt"",""en"")"),"Identification number:")</f>
        <v>Identification number:</v>
      </c>
      <c r="D6" s="29" t="str">
        <f>IFERROR(__xludf.DUMMYFUNCTION("GOOGLETRANSLATE(B6,""pt"",""en"")"),"#VALUE!")</f>
        <v>#VALUE!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30" t="s">
        <v>17</v>
      </c>
      <c r="B7" s="28"/>
      <c r="C7" s="30" t="str">
        <f>IFERROR(__xludf.DUMMYFUNCTION("GOOGLETRANSLATE(A7,""pt"",""en"")"),"Opening Date:")</f>
        <v>Opening Date:</v>
      </c>
      <c r="D7" s="29" t="str">
        <f>IFERROR(__xludf.DUMMYFUNCTION("GOOGLETRANSLATE(B7,""pt"",""en"")"),"#VALUE!")</f>
        <v>#VALUE!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30" t="s">
        <v>18</v>
      </c>
      <c r="B8" s="28"/>
      <c r="C8" s="30" t="str">
        <f>IFERROR(__xludf.DUMMYFUNCTION("GOOGLETRANSLATE(A8,""pt"",""en"")"),"Responsible (RT):")</f>
        <v>Responsible (RT):</v>
      </c>
      <c r="D8" s="29" t="str">
        <f>IFERROR(__xludf.DUMMYFUNCTION("GOOGLETRANSLATE(B8,""pt"",""en"")"),"#VALUE!")</f>
        <v>#VALUE!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30" t="s">
        <v>19</v>
      </c>
      <c r="B9" s="31"/>
      <c r="C9" s="30" t="str">
        <f>IFERROR(__xludf.DUMMYFUNCTION("GOOGLETRANSLATE(A9,""pt"",""en"")"),"Project Name:")</f>
        <v>Project Name:</v>
      </c>
      <c r="D9" s="29" t="str">
        <f>IFERROR(__xludf.DUMMYFUNCTION("GOOGLETRANSLATE(B9,""pt"",""en"")"),"#VALUE!")</f>
        <v>#VALUE!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30" t="s">
        <v>20</v>
      </c>
      <c r="B10" s="28"/>
      <c r="C10" s="30" t="str">
        <f>IFERROR(__xludf.DUMMYFUNCTION("GOOGLETRANSLATE(A10,""pt"",""en"")"),"CR/PJ:")</f>
        <v>CR/PJ:</v>
      </c>
      <c r="D10" s="29" t="str">
        <f>IFERROR(__xludf.DUMMYFUNCTION("GOOGLETRANSLATE(B10,""pt"",""en"")"),"#VALUE!")</f>
        <v>#VALUE!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30" t="s">
        <v>21</v>
      </c>
      <c r="B11" s="28"/>
      <c r="C11" s="30" t="str">
        <f>IFERROR(__xludf.DUMMYFUNCTION("GOOGLETRANSLATE(A11,""pt"",""en"")"),"Work Plan Created?:")</f>
        <v>Work Plan Created?:</v>
      </c>
      <c r="D11" s="29" t="str">
        <f>IFERROR(__xludf.DUMMYFUNCTION("GOOGLETRANSLATE(B11,""pt"",""en"")"),"#VALUE!")</f>
        <v>#VALUE!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30" t="s">
        <v>22</v>
      </c>
      <c r="B12" s="31" t="s">
        <v>23</v>
      </c>
      <c r="C12" s="30" t="str">
        <f>IFERROR(__xludf.DUMMYFUNCTION("GOOGLETRANSLATE(A12,""pt"",""en"")"),"Work Plan:")</f>
        <v>Work Plan:</v>
      </c>
      <c r="D12" s="32" t="str">
        <f>B12</f>
        <v>PDF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27" t="s">
        <v>24</v>
      </c>
      <c r="B13" s="28"/>
      <c r="C13" s="27" t="str">
        <f>IFERROR(__xludf.DUMMYFUNCTION("GOOGLETRANSLATE(A13,""pt"",""en"")"),"2. CUSTOMER INFORMATION AND REQUEST")</f>
        <v>2. CUSTOMER INFORMATION AND REQUEST</v>
      </c>
      <c r="D13" s="29" t="str">
        <f>IFERROR(__xludf.DUMMYFUNCTION("GOOGLETRANSLATE(B13,""pt"",""en"")"),"#VALUE!")</f>
        <v>#VALUE!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30" t="s">
        <v>25</v>
      </c>
      <c r="B14" s="28"/>
      <c r="C14" s="30" t="str">
        <f>IFERROR(__xludf.DUMMYFUNCTION("GOOGLETRANSLATE(A14,""pt"",""en"")"),"Customer:")</f>
        <v>Customer:</v>
      </c>
      <c r="D14" s="29" t="str">
        <f>IFERROR(__xludf.DUMMYFUNCTION("GOOGLETRANSLATE(B14,""pt"",""en"")"),"#VALUE!")</f>
        <v>#VALUE!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30" t="s">
        <v>26</v>
      </c>
      <c r="B15" s="28"/>
      <c r="C15" s="30" t="str">
        <f>IFERROR(__xludf.DUMMYFUNCTION("GOOGLETRANSLATE(A15,""pt"",""en"")"),"Primary Contact at the Client:")</f>
        <v>Primary Contact at the Client:</v>
      </c>
      <c r="D15" s="29" t="str">
        <f>IFERROR(__xludf.DUMMYFUNCTION("GOOGLETRANSLATE(B15,""pt"",""en"")"),"#VALUE!")</f>
        <v>#VALUE!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33" t="s">
        <v>27</v>
      </c>
      <c r="B16" s="31" t="s">
        <v>28</v>
      </c>
      <c r="C16" s="30" t="str">
        <f>IFERROR(__xludf.DUMMYFUNCTION("GOOGLETRANSLATE(A16,""pt"",""en"")"),"Evidence of the Request:")</f>
        <v>Evidence of the Request:</v>
      </c>
      <c r="D16" s="29" t="str">
        <f>IFERROR(__xludf.DUMMYFUNCTION("GOOGLETRANSLATE(B16,""pt"",""en"")"),"Annex")</f>
        <v>Annex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30" t="s">
        <v>29</v>
      </c>
      <c r="B17" s="31"/>
      <c r="C17" s="30" t="str">
        <f>IFERROR(__xludf.DUMMYFUNCTION("GOOGLETRANSLATE(A17,""pt"",""en"")"),"Brief Description of the Demand:")</f>
        <v>Brief Description of the Demand:</v>
      </c>
      <c r="D17" s="29" t="str">
        <f>IFERROR(__xludf.DUMMYFUNCTION("GOOGLETRANSLATE(B17,""pt"",""en"")"),"#VALUE!")</f>
        <v>#VALUE!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27" t="s">
        <v>30</v>
      </c>
      <c r="B18" s="28"/>
      <c r="C18" s="27" t="str">
        <f>IFERROR(__xludf.DUMMYFUNCTION("GOOGLETRANSLATE(A18,""pt"",""en"")"),"3. INITIAL REQUIREMENTS")</f>
        <v>3. INITIAL REQUIREMENTS</v>
      </c>
      <c r="D18" s="29" t="str">
        <f>IFERROR(__xludf.DUMMYFUNCTION("GOOGLETRANSLATE(B18,""pt"",""en"")"),"#VALUE!")</f>
        <v>#VALUE!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30" t="s">
        <v>31</v>
      </c>
      <c r="B19" s="28"/>
      <c r="C19" s="30" t="str">
        <f>IFERROR(__xludf.DUMMYFUNCTION("GOOGLETRANSLATE(A19,""pt"",""en"")"),"Mechanical component/system:")</f>
        <v>Mechanical component/system:</v>
      </c>
      <c r="D19" s="29" t="str">
        <f>IFERROR(__xludf.DUMMYFUNCTION("GOOGLETRANSLATE(B19,""pt"",""en"")"),"#VALUE!")</f>
        <v>#VALUE!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30" t="s">
        <v>32</v>
      </c>
      <c r="B20" s="28"/>
      <c r="C20" s="30" t="str">
        <f>IFERROR(__xludf.DUMMYFUNCTION("GOOGLETRANSLATE(A20,""pt"",""en"")"),"Functional Requirements:")</f>
        <v>Functional Requirements:</v>
      </c>
      <c r="D20" s="29" t="str">
        <f>IFERROR(__xludf.DUMMYFUNCTION("GOOGLETRANSLATE(B20,""pt"",""en"")"),"#VALUE!")</f>
        <v>#VALUE!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30" t="s">
        <v>33</v>
      </c>
      <c r="B21" s="28"/>
      <c r="C21" s="30" t="str">
        <f>IFERROR(__xludf.DUMMYFUNCTION("GOOGLETRANSLATE(A21,""pt"",""en"")"),"Estimated Volume:")</f>
        <v>Estimated Volume:</v>
      </c>
      <c r="D21" s="29" t="str">
        <f>IFERROR(__xludf.DUMMYFUNCTION("GOOGLETRANSLATE(B21,""pt"",""en"")"),"#VALUE!")</f>
        <v>#VALUE!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30" t="s">
        <v>34</v>
      </c>
      <c r="B22" s="28"/>
      <c r="C22" s="30" t="str">
        <f>IFERROR(__xludf.DUMMYFUNCTION("GOOGLETRANSLATE(A22,""pt"",""en"")"),"Requested Deadline:")</f>
        <v>Requested Deadline:</v>
      </c>
      <c r="D22" s="29" t="str">
        <f>IFERROR(__xludf.DUMMYFUNCTION("GOOGLETRANSLATE(B22,""pt"",""en"")"),"#VALUE!")</f>
        <v>#VALUE!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30" t="s">
        <v>35</v>
      </c>
      <c r="B23" s="28"/>
      <c r="C23" s="30" t="str">
        <f>IFERROR(__xludf.DUMMYFUNCTION("GOOGLETRANSLATE(A23,""pt"",""en"")"),"Regulatory Requirements:")</f>
        <v>Regulatory Requirements:</v>
      </c>
      <c r="D23" s="29" t="str">
        <f>IFERROR(__xludf.DUMMYFUNCTION("GOOGLETRANSLATE(B23,""pt"",""en"")"),"#VALUE!")</f>
        <v>#VALUE!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30" t="s">
        <v>36</v>
      </c>
      <c r="B24" s="28"/>
      <c r="C24" s="30" t="str">
        <f>IFERROR(__xludf.DUMMYFUNCTION("GOOGLETRANSLATE(A24,""pt"",""en"")"),"Non-destructive testing required:")</f>
        <v>Non-destructive testing required:</v>
      </c>
      <c r="D24" s="29" t="str">
        <f>IFERROR(__xludf.DUMMYFUNCTION("GOOGLETRANSLATE(B24,""pt"",""en"")"),"#VALUE!")</f>
        <v>#VALUE!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customHeight="1">
      <c r="A25" s="34" t="s">
        <v>37</v>
      </c>
      <c r="B25" s="35"/>
      <c r="C25" s="34" t="s">
        <v>38</v>
      </c>
      <c r="D25" s="35" t="s">
        <v>39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customHeight="1">
      <c r="A26" s="34" t="s">
        <v>40</v>
      </c>
      <c r="B26" s="35"/>
      <c r="C26" s="34" t="s">
        <v>41</v>
      </c>
      <c r="D26" s="35" t="s">
        <v>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34" t="s">
        <v>43</v>
      </c>
      <c r="B27" s="35"/>
      <c r="C27" s="34" t="str">
        <f>IFERROR(__xludf.DUMMYFUNCTION("GOOGLETRANSLATE(A27,""pt"",""en"")"),"Destructive testing required:")</f>
        <v>Destructive testing required:</v>
      </c>
      <c r="D27" s="35" t="str">
        <f>IFERROR(__xludf.DUMMYFUNCTION("GOOGLETRANSLATE(B27,""pt"",""en"")"),"#VALUE!")</f>
        <v>#VALUE!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30" t="s">
        <v>44</v>
      </c>
      <c r="B28" s="29"/>
      <c r="C28" s="30" t="s">
        <v>44</v>
      </c>
      <c r="D28" s="29" t="str">
        <f>B28</f>
        <v/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8"/>
    </row>
    <row r="30" ht="12.75" customHeight="1">
      <c r="A30" s="39" t="s">
        <v>45</v>
      </c>
      <c r="B30" s="39" t="s">
        <v>8</v>
      </c>
      <c r="C30" s="39" t="s">
        <v>46</v>
      </c>
      <c r="D30" s="39" t="s">
        <v>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hidden="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hidden="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hidden="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hidden="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hidden="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hidden="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hidden="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hidden="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</sheetData>
  <mergeCells count="3">
    <mergeCell ref="B2:C2"/>
    <mergeCell ref="A3:D3"/>
    <mergeCell ref="A29:Z29"/>
  </mergeCells>
  <dataValidations>
    <dataValidation type="list" allowBlank="1" showErrorMessage="1" sqref="B28 D28">
      <formula1>"-,AMC 1,AMC 2,AMC 3"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38"/>
    <col customWidth="1" min="2" max="2" width="41.75"/>
    <col customWidth="1" min="3" max="3" width="54.88"/>
    <col customWidth="1" min="4" max="4" width="31.38"/>
    <col customWidth="1" hidden="1" min="5" max="5" width="9.13"/>
    <col customWidth="1" hidden="1" min="6" max="6" width="13.75"/>
    <col customWidth="1" hidden="1" min="7" max="26" width="8.63"/>
  </cols>
  <sheetData>
    <row r="1" ht="50.25" customHeight="1">
      <c r="A1" s="16"/>
      <c r="B1" s="40" t="s">
        <v>48</v>
      </c>
      <c r="C1" s="18"/>
      <c r="D1" s="19" t="s">
        <v>49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1" t="s">
        <v>1</v>
      </c>
      <c r="B2" s="37"/>
      <c r="C2" s="37"/>
      <c r="D2" s="3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42" t="s">
        <v>50</v>
      </c>
      <c r="B3" s="43" t="s">
        <v>3</v>
      </c>
      <c r="C3" s="42" t="s">
        <v>51</v>
      </c>
      <c r="D3" s="4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44" t="s">
        <v>52</v>
      </c>
      <c r="B4" s="28"/>
      <c r="C4" s="44" t="s">
        <v>53</v>
      </c>
      <c r="D4" s="4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46" t="s">
        <v>54</v>
      </c>
      <c r="B5" s="28"/>
      <c r="C5" s="46" t="s">
        <v>55</v>
      </c>
      <c r="D5" s="4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46" t="s">
        <v>56</v>
      </c>
      <c r="B6" s="28"/>
      <c r="C6" s="46" t="s">
        <v>57</v>
      </c>
      <c r="D6" s="4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46" t="s">
        <v>58</v>
      </c>
      <c r="B7" s="28"/>
      <c r="C7" s="46" t="s">
        <v>59</v>
      </c>
      <c r="D7" s="4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46" t="s">
        <v>60</v>
      </c>
      <c r="B8" s="28"/>
      <c r="C8" s="46" t="s">
        <v>61</v>
      </c>
      <c r="D8" s="4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46" t="s">
        <v>62</v>
      </c>
      <c r="B9" s="31" t="s">
        <v>63</v>
      </c>
      <c r="C9" s="46" t="s">
        <v>64</v>
      </c>
      <c r="D9" s="4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44" t="s">
        <v>65</v>
      </c>
      <c r="B10" s="28"/>
      <c r="C10" s="44" t="s">
        <v>66</v>
      </c>
      <c r="D10" s="4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46" t="s">
        <v>67</v>
      </c>
      <c r="B11" s="28"/>
      <c r="C11" s="46" t="s">
        <v>68</v>
      </c>
      <c r="D11" s="45"/>
      <c r="E11" s="3" t="s">
        <v>69</v>
      </c>
      <c r="F11" s="3" t="s">
        <v>69</v>
      </c>
      <c r="G11" s="3" t="s">
        <v>69</v>
      </c>
      <c r="H11" s="3" t="s">
        <v>69</v>
      </c>
      <c r="I11" s="3" t="s">
        <v>69</v>
      </c>
      <c r="J11" s="3" t="s">
        <v>69</v>
      </c>
      <c r="K11" s="3" t="s">
        <v>69</v>
      </c>
      <c r="L11" s="3" t="s">
        <v>69</v>
      </c>
      <c r="M11" s="3" t="s">
        <v>69</v>
      </c>
      <c r="N11" s="3" t="s">
        <v>69</v>
      </c>
      <c r="O11" s="3" t="s">
        <v>69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69</v>
      </c>
      <c r="W11" s="3" t="s">
        <v>69</v>
      </c>
      <c r="X11" s="3" t="s">
        <v>69</v>
      </c>
      <c r="Y11" s="3" t="s">
        <v>69</v>
      </c>
      <c r="Z11" s="3" t="s">
        <v>69</v>
      </c>
    </row>
    <row r="12" ht="19.5" customHeight="1">
      <c r="A12" s="46" t="s">
        <v>70</v>
      </c>
      <c r="B12" s="28"/>
      <c r="C12" s="46" t="s">
        <v>71</v>
      </c>
      <c r="D12" s="4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46" t="s">
        <v>72</v>
      </c>
      <c r="B13" s="31" t="s">
        <v>73</v>
      </c>
      <c r="C13" s="46" t="s">
        <v>74</v>
      </c>
      <c r="D13" s="4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46" t="s">
        <v>75</v>
      </c>
      <c r="B14" s="28"/>
      <c r="C14" s="46" t="s">
        <v>76</v>
      </c>
      <c r="D14" s="4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46" t="s">
        <v>77</v>
      </c>
      <c r="B15" s="28"/>
      <c r="C15" s="46" t="s">
        <v>78</v>
      </c>
      <c r="D15" s="4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46" t="s">
        <v>79</v>
      </c>
      <c r="B16" s="28"/>
      <c r="C16" s="46" t="s">
        <v>80</v>
      </c>
      <c r="D16" s="4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46" t="s">
        <v>81</v>
      </c>
      <c r="B17" s="31" t="s">
        <v>82</v>
      </c>
      <c r="C17" s="46" t="s">
        <v>83</v>
      </c>
      <c r="D17" s="4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48" t="s">
        <v>84</v>
      </c>
      <c r="B18" s="31" t="s">
        <v>85</v>
      </c>
      <c r="C18" s="44" t="s">
        <v>86</v>
      </c>
      <c r="D18" s="4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46" t="s">
        <v>87</v>
      </c>
      <c r="B19" s="31" t="s">
        <v>85</v>
      </c>
      <c r="C19" s="46" t="s">
        <v>88</v>
      </c>
      <c r="D19" s="4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48" t="s">
        <v>89</v>
      </c>
      <c r="B20" s="31" t="s">
        <v>82</v>
      </c>
      <c r="C20" s="44" t="s">
        <v>90</v>
      </c>
      <c r="D20" s="4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46" t="s">
        <v>91</v>
      </c>
      <c r="B21" s="31" t="s">
        <v>82</v>
      </c>
      <c r="C21" s="46" t="s">
        <v>92</v>
      </c>
      <c r="D21" s="4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48" t="s">
        <v>93</v>
      </c>
      <c r="B22" s="31" t="s">
        <v>82</v>
      </c>
      <c r="C22" s="44" t="s">
        <v>94</v>
      </c>
      <c r="D22" s="4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46" t="s">
        <v>95</v>
      </c>
      <c r="B23" s="31" t="s">
        <v>82</v>
      </c>
      <c r="C23" s="46" t="s">
        <v>96</v>
      </c>
      <c r="D23" s="4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48" t="s">
        <v>97</v>
      </c>
      <c r="B24" s="45"/>
      <c r="C24" s="44" t="s">
        <v>98</v>
      </c>
      <c r="D24" s="4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46" t="s">
        <v>99</v>
      </c>
      <c r="B25" s="45" t="s">
        <v>100</v>
      </c>
      <c r="C25" s="46" t="s">
        <v>101</v>
      </c>
      <c r="D25" s="4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49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</row>
    <row r="27" ht="12.75" customHeight="1">
      <c r="A27" s="50" t="s">
        <v>102</v>
      </c>
      <c r="B27" s="51" t="s">
        <v>8</v>
      </c>
      <c r="C27" s="51" t="s">
        <v>9</v>
      </c>
      <c r="D27" s="51" t="s">
        <v>10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hidden="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hidden="1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hidden="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hidden="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hidden="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hidden="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hidden="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hidden="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hidden="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hidden="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hidden="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3">
    <mergeCell ref="B1:C1"/>
    <mergeCell ref="A2:D2"/>
    <mergeCell ref="A26:Z26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41.75"/>
    <col customWidth="1" min="3" max="3" width="47.63"/>
    <col customWidth="1" min="4" max="4" width="31.38"/>
    <col customWidth="1" hidden="1" min="5" max="5" width="9.13"/>
    <col customWidth="1" hidden="1" min="6" max="6" width="13.75"/>
    <col customWidth="1" hidden="1" min="7" max="26" width="8.63"/>
  </cols>
  <sheetData>
    <row r="1" ht="50.25" customHeight="1">
      <c r="A1" s="16"/>
      <c r="B1" s="17" t="s">
        <v>103</v>
      </c>
      <c r="C1" s="18"/>
      <c r="D1" s="19" t="s">
        <v>104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1" t="s">
        <v>1</v>
      </c>
      <c r="B2" s="37"/>
      <c r="C2" s="37"/>
      <c r="D2" s="3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52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8"/>
    </row>
    <row r="4" ht="27.0" customHeight="1">
      <c r="A4" s="25" t="s">
        <v>105</v>
      </c>
      <c r="B4" s="26" t="s">
        <v>3</v>
      </c>
      <c r="C4" s="25" t="s">
        <v>106</v>
      </c>
      <c r="D4" s="26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53" t="s">
        <v>107</v>
      </c>
      <c r="B5" s="54"/>
      <c r="C5" s="53" t="str">
        <f>IFERROR(__xludf.DUMMYFUNCTION("GOOGLETRANSLATE(A5,""pt"",""en"")"),"1. SYSTEM IDENTIFICATION")</f>
        <v>1. SYSTEM IDENTIFICATION</v>
      </c>
      <c r="D5" s="5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55" t="s">
        <v>108</v>
      </c>
      <c r="B6" s="54"/>
      <c r="C6" s="55" t="str">
        <f>IFERROR(__xludf.DUMMYFUNCTION("GOOGLETRANSLATE(A6,""pt"",""en"")"),"AMOS Associate:")</f>
        <v>AMOS Associate:</v>
      </c>
      <c r="D6" s="54" t="str">
        <f>IFERROR(__xludf.DUMMYFUNCTION("GOOGLETRANSLATE(B6,""pt"",""en"")"),"#VALUE!")</f>
        <v>#VALUE!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55" t="s">
        <v>109</v>
      </c>
      <c r="B7" s="54"/>
      <c r="C7" s="55" t="str">
        <f>IFERROR(__xludf.DUMMYFUNCTION("GOOGLETRANSLATE(A7,""pt"",""en"")"),"Component Name/ID:")</f>
        <v>Component Name/ID:</v>
      </c>
      <c r="D7" s="54" t="str">
        <f>IFERROR(__xludf.DUMMYFUNCTION("GOOGLETRANSLATE(B7,""pt"",""en"")"),"#VALUE!")</f>
        <v>#VALUE!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55" t="s">
        <v>110</v>
      </c>
      <c r="B8" s="54"/>
      <c r="C8" s="55" t="str">
        <f>IFERROR(__xludf.DUMMYFUNCTION("GOOGLETRANSLATE(A8,""pt"",""en"")"),"Responsible for Optimization:")</f>
        <v>Responsible for Optimization:</v>
      </c>
      <c r="D8" s="54" t="str">
        <f>IFERROR(__xludf.DUMMYFUNCTION("GOOGLETRANSLATE(B8,""pt"",""en"")"),"#VALUE!")</f>
        <v>#VALUE!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56" t="s">
        <v>111</v>
      </c>
      <c r="B9" s="57"/>
      <c r="C9" s="53" t="str">
        <f>IFERROR(__xludf.DUMMYFUNCTION("GOOGLETRANSLATE(A9,""pt"",""en"")"),"2. MODEL REFERENCES")</f>
        <v>2. MODEL REFERENCES</v>
      </c>
      <c r="D9" s="54" t="str">
        <f>IFERROR(__xludf.DUMMYFUNCTION("GOOGLETRANSLATE(B9,""pt"",""en"")"),"#VALUE!")</f>
        <v>#VALUE!</v>
      </c>
      <c r="E9" s="3" t="s">
        <v>69</v>
      </c>
      <c r="F9" s="3" t="s">
        <v>69</v>
      </c>
      <c r="G9" s="3" t="s">
        <v>69</v>
      </c>
      <c r="H9" s="3" t="s">
        <v>69</v>
      </c>
      <c r="I9" s="3" t="s">
        <v>69</v>
      </c>
      <c r="J9" s="3" t="s">
        <v>69</v>
      </c>
      <c r="K9" s="3" t="s">
        <v>69</v>
      </c>
      <c r="L9" s="3" t="s">
        <v>69</v>
      </c>
      <c r="M9" s="3" t="s">
        <v>69</v>
      </c>
      <c r="N9" s="3" t="s">
        <v>69</v>
      </c>
      <c r="O9" s="3" t="s">
        <v>69</v>
      </c>
      <c r="P9" s="3" t="s">
        <v>69</v>
      </c>
      <c r="Q9" s="3" t="s">
        <v>69</v>
      </c>
      <c r="R9" s="3" t="s">
        <v>69</v>
      </c>
      <c r="S9" s="3" t="s">
        <v>69</v>
      </c>
      <c r="T9" s="3" t="s">
        <v>69</v>
      </c>
      <c r="U9" s="3" t="s">
        <v>69</v>
      </c>
      <c r="V9" s="3" t="s">
        <v>69</v>
      </c>
      <c r="W9" s="3" t="s">
        <v>69</v>
      </c>
      <c r="X9" s="3" t="s">
        <v>69</v>
      </c>
      <c r="Y9" s="3" t="s">
        <v>69</v>
      </c>
      <c r="Z9" s="3" t="s">
        <v>69</v>
      </c>
    </row>
    <row r="10" ht="18.0" customHeight="1">
      <c r="A10" s="55" t="s">
        <v>112</v>
      </c>
      <c r="B10" s="57"/>
      <c r="C10" s="55" t="str">
        <f>IFERROR(__xludf.DUMMYFUNCTION("GOOGLETRANSLATE(A10,""pt"",""en"")"),"Original CAD Model:")</f>
        <v>Original CAD Model:</v>
      </c>
      <c r="D10" s="54" t="str">
        <f>IFERROR(__xludf.DUMMYFUNCTION("GOOGLETRANSLATE(B10,""pt"",""en"")"),"#VALUE!")</f>
        <v>#VALUE!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55" t="s">
        <v>113</v>
      </c>
      <c r="B11" s="57"/>
      <c r="C11" s="55" t="str">
        <f>IFERROR(__xludf.DUMMYFUNCTION("GOOGLETRANSLATE(A11,""pt"",""en"")"),"Optimized CAD Model for MA:")</f>
        <v>Optimized CAD Model for MA:</v>
      </c>
      <c r="D11" s="54" t="str">
        <f>IFERROR(__xludf.DUMMYFUNCTION("GOOGLETRANSLATE(B11,""pt"",""en"")"),"#VALUE!")</f>
        <v>#VALUE!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56" t="s">
        <v>114</v>
      </c>
      <c r="B12" s="57"/>
      <c r="C12" s="53" t="str">
        <f>IFERROR(__xludf.DUMMYFUNCTION("GOOGLETRANSLATE(A12,""pt"",""en"")"),"3. TABLE OF CHANGES")</f>
        <v>3. TABLE OF CHANGES</v>
      </c>
      <c r="D12" s="54" t="str">
        <f>IFERROR(__xludf.DUMMYFUNCTION("GOOGLETRANSLATE(B12,""pt"",""en"")"),"#VALUE!")</f>
        <v>#VALUE!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58" t="s">
        <v>115</v>
      </c>
      <c r="B13" s="57"/>
      <c r="C13" s="58" t="str">
        <f>IFERROR(__xludf.DUMMYFUNCTION("GOOGLETRANSLATE(A13,""pt"",""en"")"),"Item:")</f>
        <v>Item:</v>
      </c>
      <c r="D13" s="5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59"/>
      <c r="B14" s="57"/>
      <c r="C14" s="59"/>
      <c r="D14" s="5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59"/>
      <c r="B15" s="57"/>
      <c r="C15" s="59"/>
      <c r="D15" s="5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60"/>
      <c r="B16" s="57"/>
      <c r="C16" s="60"/>
      <c r="D16" s="5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56" t="s">
        <v>116</v>
      </c>
      <c r="B17" s="57"/>
      <c r="C17" s="53" t="str">
        <f>IFERROR(__xludf.DUMMYFUNCTION("GOOGLETRANSLATE(A17,""pt"",""en"")"),"4. ADDITIONAL CONSIDERATIONS")</f>
        <v>4. ADDITIONAL CONSIDERATIONS</v>
      </c>
      <c r="D17" s="54" t="str">
        <f>IFERROR(__xludf.DUMMYFUNCTION("GOOGLETRANSLATE(B17,""pt"",""en"")"),"#VALUE!")</f>
        <v>#VALUE!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55" t="s">
        <v>117</v>
      </c>
      <c r="B18" s="57"/>
      <c r="C18" s="55" t="str">
        <f>IFERROR(__xludf.DUMMYFUNCTION("GOOGLETRANSLATE(A18,""pt"",""en"")"),"Additional Validation Required:")</f>
        <v>Additional Validation Required:</v>
      </c>
      <c r="D18" s="54" t="str">
        <f>IFERROR(__xludf.DUMMYFUNCTION("GOOGLETRANSLATE(B18,""pt"",""en"")"),"#VALUE!")</f>
        <v>#VALUE!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58" t="s">
        <v>118</v>
      </c>
      <c r="B19" s="61"/>
      <c r="C19" s="58" t="str">
        <f>IFERROR(__xludf.DUMMYFUNCTION("GOOGLETRANSLATE(A19,""pt"",""en"")"),"Risk assessment for changes:")</f>
        <v>Risk assessment for changes:</v>
      </c>
      <c r="D19" s="61" t="str">
        <f>IFERROR(__xludf.DUMMYFUNCTION("GOOGLETRANSLATE(B19,""pt"",""en"")"),"#VALUE!")</f>
        <v>#VALUE!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59"/>
      <c r="B20" s="59"/>
      <c r="C20" s="59"/>
      <c r="D20" s="5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59"/>
      <c r="B21" s="59"/>
      <c r="C21" s="59"/>
      <c r="D21" s="5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60"/>
      <c r="B22" s="60"/>
      <c r="C22" s="60"/>
      <c r="D22" s="6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58" t="s">
        <v>119</v>
      </c>
      <c r="B23" s="58"/>
      <c r="C23" s="58" t="str">
        <f>IFERROR(__xludf.DUMMYFUNCTION("GOOGLETRANSLATE(A23,""pt"",""en"")"),"Manufacturing risk analysis by MA:")</f>
        <v>Manufacturing risk analysis by MA:</v>
      </c>
      <c r="D23" s="58" t="str">
        <f>IFERROR(__xludf.DUMMYFUNCTION("GOOGLETRANSLATE(B23,""pt"",""en"")"),"#VALUE!")</f>
        <v>#VALUE!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59"/>
      <c r="B24" s="59"/>
      <c r="C24" s="59"/>
      <c r="D24" s="5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59"/>
      <c r="B25" s="59"/>
      <c r="C25" s="59"/>
      <c r="D25" s="5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60"/>
      <c r="B26" s="60"/>
      <c r="C26" s="60"/>
      <c r="D26" s="6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55" t="s">
        <v>120</v>
      </c>
      <c r="B27" s="54"/>
      <c r="C27" s="55" t="str">
        <f>IFERROR(__xludf.DUMMYFUNCTION("GOOGLETRANSLATE(A27,""pt"",""en"")"),"Reviewed by:")</f>
        <v>Reviewed by:</v>
      </c>
      <c r="D27" s="54" t="str">
        <f>IFERROR(__xludf.DUMMYFUNCTION("GOOGLETRANSLATE(B27,""pt"",""en"")"),"#VALUE!")</f>
        <v>#VALUE!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62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8"/>
    </row>
    <row r="29" ht="12.75" customHeight="1">
      <c r="A29" s="51" t="s">
        <v>121</v>
      </c>
      <c r="B29" s="51" t="s">
        <v>8</v>
      </c>
      <c r="C29" s="51" t="s">
        <v>9</v>
      </c>
      <c r="D29" s="51" t="s">
        <v>10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hidden="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hidden="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hidden="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hidden="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hidden="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hidden="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hidden="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hidden="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hidden="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14">
    <mergeCell ref="C19:C22"/>
    <mergeCell ref="D19:D22"/>
    <mergeCell ref="A23:A26"/>
    <mergeCell ref="B23:B26"/>
    <mergeCell ref="C23:C26"/>
    <mergeCell ref="D23:D26"/>
    <mergeCell ref="B1:C1"/>
    <mergeCell ref="A2:D2"/>
    <mergeCell ref="A3:Z3"/>
    <mergeCell ref="A13:A16"/>
    <mergeCell ref="C13:C16"/>
    <mergeCell ref="A19:A22"/>
    <mergeCell ref="B19:B22"/>
    <mergeCell ref="A28:Z28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5"/>
    <col customWidth="1" min="2" max="2" width="49.13"/>
    <col customWidth="1" min="3" max="3" width="58.38"/>
    <col customWidth="1" min="4" max="4" width="37.0"/>
    <col customWidth="1" hidden="1" min="5" max="5" width="9.13"/>
    <col customWidth="1" hidden="1" min="6" max="6" width="13.75"/>
    <col customWidth="1" hidden="1" min="7" max="26" width="8.63"/>
  </cols>
  <sheetData>
    <row r="1" ht="6.75" customHeight="1">
      <c r="A1" s="13"/>
      <c r="B1" s="14"/>
      <c r="C1" s="14"/>
      <c r="D1" s="13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42.0" customHeight="1">
      <c r="A2" s="16"/>
      <c r="B2" s="17" t="s">
        <v>122</v>
      </c>
      <c r="C2" s="18"/>
      <c r="D2" s="19" t="s">
        <v>123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63" t="s">
        <v>1</v>
      </c>
      <c r="D3" s="6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1.25" customHeight="1">
      <c r="A4" s="65"/>
    </row>
    <row r="5" ht="27.0" customHeight="1">
      <c r="A5" s="25" t="s">
        <v>124</v>
      </c>
      <c r="B5" s="26" t="s">
        <v>3</v>
      </c>
      <c r="C5" s="25" t="s">
        <v>125</v>
      </c>
      <c r="D5" s="2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66" t="s">
        <v>6</v>
      </c>
      <c r="B6" s="67" t="s">
        <v>126</v>
      </c>
      <c r="C6" s="66" t="s">
        <v>127</v>
      </c>
      <c r="D6" s="67" t="str">
        <f>B6</f>
        <v>MD2 - Reparo de eixo - Inconel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66" t="s">
        <v>44</v>
      </c>
      <c r="B7" s="67" t="s">
        <v>128</v>
      </c>
      <c r="C7" s="66" t="s">
        <v>44</v>
      </c>
      <c r="D7" s="6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66" t="s">
        <v>129</v>
      </c>
      <c r="B8" s="67" t="s">
        <v>130</v>
      </c>
      <c r="C8" s="66" t="s">
        <v>131</v>
      </c>
      <c r="D8" s="67" t="str">
        <f t="shared" ref="D8:D10" si="1">B8</f>
        <v>MPS-27525-001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66" t="s">
        <v>132</v>
      </c>
      <c r="B9" s="69" t="s">
        <v>133</v>
      </c>
      <c r="C9" s="66" t="s">
        <v>134</v>
      </c>
      <c r="D9" s="67" t="str">
        <f t="shared" si="1"/>
        <v>DNV- B203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66" t="s">
        <v>135</v>
      </c>
      <c r="B10" s="67" t="s">
        <v>136</v>
      </c>
      <c r="C10" s="66" t="s">
        <v>137</v>
      </c>
      <c r="D10" s="67" t="str">
        <f t="shared" si="1"/>
        <v>-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66" t="s">
        <v>138</v>
      </c>
      <c r="B11" s="67" t="s">
        <v>139</v>
      </c>
      <c r="C11" s="66" t="s">
        <v>140</v>
      </c>
      <c r="D11" s="67" t="str">
        <f>B12</f>
        <v>Pó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66" t="s">
        <v>141</v>
      </c>
      <c r="B12" s="67" t="s">
        <v>142</v>
      </c>
      <c r="C12" s="66" t="s">
        <v>143</v>
      </c>
      <c r="D12" s="67" t="str">
        <f>#REF!</f>
        <v>#REF!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70" t="s">
        <v>144</v>
      </c>
      <c r="B13" s="69" t="s">
        <v>145</v>
      </c>
      <c r="C13" s="66" t="s">
        <v>146</v>
      </c>
      <c r="D13" s="67" t="str">
        <f t="shared" ref="D13:D21" si="2">B13</f>
        <v>n Peças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66" t="s">
        <v>147</v>
      </c>
      <c r="B14" s="69" t="s">
        <v>85</v>
      </c>
      <c r="C14" s="66" t="s">
        <v>148</v>
      </c>
      <c r="D14" s="67" t="str">
        <f t="shared" si="2"/>
        <v>Texto Livre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71" t="s">
        <v>149</v>
      </c>
      <c r="B15" s="67" t="s">
        <v>136</v>
      </c>
      <c r="C15" s="66" t="s">
        <v>150</v>
      </c>
      <c r="D15" s="67" t="str">
        <f t="shared" si="2"/>
        <v>-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72" t="s">
        <v>151</v>
      </c>
      <c r="B16" s="67" t="s">
        <v>136</v>
      </c>
      <c r="C16" s="66" t="s">
        <v>152</v>
      </c>
      <c r="D16" s="67" t="str">
        <f t="shared" si="2"/>
        <v>-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71" t="s">
        <v>153</v>
      </c>
      <c r="B17" s="67" t="s">
        <v>136</v>
      </c>
      <c r="C17" s="66" t="s">
        <v>154</v>
      </c>
      <c r="D17" s="67" t="str">
        <f t="shared" si="2"/>
        <v>-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71" t="s">
        <v>155</v>
      </c>
      <c r="B18" s="67" t="s">
        <v>136</v>
      </c>
      <c r="C18" s="66" t="s">
        <v>156</v>
      </c>
      <c r="D18" s="67" t="str">
        <f t="shared" si="2"/>
        <v>-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66" t="s">
        <v>157</v>
      </c>
      <c r="B19" s="67" t="s">
        <v>136</v>
      </c>
      <c r="C19" s="66" t="s">
        <v>158</v>
      </c>
      <c r="D19" s="67" t="str">
        <f t="shared" si="2"/>
        <v>-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71" t="s">
        <v>159</v>
      </c>
      <c r="B20" s="68"/>
      <c r="C20" s="66" t="s">
        <v>160</v>
      </c>
      <c r="D20" s="68" t="str">
        <f t="shared" si="2"/>
        <v/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73" t="s">
        <v>161</v>
      </c>
      <c r="B21" s="67" t="s">
        <v>136</v>
      </c>
      <c r="C21" s="66" t="s">
        <v>162</v>
      </c>
      <c r="D21" s="67" t="str">
        <f t="shared" si="2"/>
        <v>-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73" t="s">
        <v>163</v>
      </c>
      <c r="B22" s="68"/>
      <c r="C22" s="74" t="s">
        <v>164</v>
      </c>
      <c r="D22" s="6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66" t="s">
        <v>165</v>
      </c>
      <c r="B23" s="68"/>
      <c r="C23" s="75" t="s">
        <v>166</v>
      </c>
      <c r="D23" s="6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76"/>
      <c r="B24" s="68"/>
      <c r="C24" s="77"/>
      <c r="D24" s="6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8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8"/>
    </row>
    <row r="26">
      <c r="A26" s="79" t="s">
        <v>167</v>
      </c>
      <c r="B26" s="79" t="s">
        <v>8</v>
      </c>
      <c r="C26" s="79" t="s">
        <v>46</v>
      </c>
      <c r="D26" s="79" t="s">
        <v>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hidden="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hidden="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hidden="1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hidden="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hidden="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hidden="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hidden="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hidden="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hidden="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hidden="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hidden="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hidden="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B2:C2"/>
    <mergeCell ref="A3:D3"/>
    <mergeCell ref="A4:Z4"/>
    <mergeCell ref="A25:Z25"/>
  </mergeCells>
  <dataValidations>
    <dataValidation type="list" allowBlank="1" showErrorMessage="1" sqref="B20">
      <formula1>"-,Usinagem,Tratamento térmico"</formula1>
    </dataValidation>
    <dataValidation type="list" allowBlank="1" showErrorMessage="1" sqref="B12">
      <formula1>"-,Pó,Arame"</formula1>
    </dataValidation>
    <dataValidation type="list" allowBlank="1" showErrorMessage="1" sqref="B11">
      <formula1>"-,PBF,L-DED"</formula1>
    </dataValidation>
    <dataValidation type="list" allowBlank="1" showErrorMessage="1" sqref="B7">
      <formula1>"-,AMC 1,AMC 2,AMC 3"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0"/>
    <col customWidth="1" min="2" max="2" width="49.13"/>
    <col customWidth="1" min="3" max="3" width="52.63"/>
    <col customWidth="1" min="4" max="4" width="52.88"/>
    <col customWidth="1" hidden="1" min="5" max="5" width="9.13"/>
    <col customWidth="1" hidden="1" min="6" max="6" width="13.75"/>
    <col customWidth="1" hidden="1" min="7" max="26" width="8.63"/>
  </cols>
  <sheetData>
    <row r="1" ht="9.0" customHeight="1">
      <c r="A1" s="13"/>
      <c r="B1" s="14"/>
      <c r="C1" s="14"/>
      <c r="D1" s="13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50.25" customHeight="1">
      <c r="A2" s="16"/>
      <c r="B2" s="17" t="s">
        <v>168</v>
      </c>
      <c r="C2" s="18"/>
      <c r="D2" s="19" t="s">
        <v>169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63" t="s">
        <v>1</v>
      </c>
      <c r="D3" s="8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25" t="s">
        <v>170</v>
      </c>
      <c r="B4" s="26" t="s">
        <v>3</v>
      </c>
      <c r="C4" s="25" t="s">
        <v>171</v>
      </c>
      <c r="D4" s="26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81" t="s">
        <v>6</v>
      </c>
      <c r="B5" s="82"/>
      <c r="C5" s="81" t="str">
        <f>IFERROR(__xludf.DUMMYFUNCTION("GOOGLETRANSLATE(A5,""pt"",""en"")"),"Title:")</f>
        <v>Title:</v>
      </c>
      <c r="D5" s="83" t="str">
        <f>IFERROR(__xludf.DUMMYFUNCTION("GOOGLETRANSLATE(B5,""pt"",""en"")"),"#VALUE!")</f>
        <v>#VALUE!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84" t="s">
        <v>16</v>
      </c>
      <c r="B6" s="85"/>
      <c r="C6" s="84" t="str">
        <f>IFERROR(__xludf.DUMMYFUNCTION("GOOGLETRANSLATE(A6,""pt"",""en"")"),"Identification number:")</f>
        <v>Identification number:</v>
      </c>
      <c r="D6" s="86" t="str">
        <f>IFERROR(__xludf.DUMMYFUNCTION("GOOGLETRANSLATE(B6,""pt"",""en"")"),"#VALUE!")</f>
        <v>#VALUE!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84" t="s">
        <v>172</v>
      </c>
      <c r="B7" s="85"/>
      <c r="C7" s="84" t="str">
        <f>IFERROR(__xludf.DUMMYFUNCTION("GOOGLETRANSLATE(A7,""pt"",""en"")"),"Date of Preparation/Revision:")</f>
        <v>Date of Preparation/Revision:</v>
      </c>
      <c r="D7" s="86" t="str">
        <f>IFERROR(__xludf.DUMMYFUNCTION("GOOGLETRANSLATE(B7,""pt"",""en"")"),"#VALUE!")</f>
        <v>#VALUE!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84" t="s">
        <v>173</v>
      </c>
      <c r="B8" s="85"/>
      <c r="C8" s="84" t="str">
        <f>IFERROR(__xludf.DUMMYFUNCTION("GOOGLETRANSLATE(A8,""pt"",""en"")"),"Project:")</f>
        <v>Project:</v>
      </c>
      <c r="D8" s="86" t="str">
        <f>IFERROR(__xludf.DUMMYFUNCTION("GOOGLETRANSLATE(B8,""pt"",""en"")"),"#VALUE!")</f>
        <v>#VALUE!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84" t="s">
        <v>174</v>
      </c>
      <c r="B9" s="85"/>
      <c r="C9" s="84" t="str">
        <f>IFERROR(__xludf.DUMMYFUNCTION("GOOGLETRANSLATE(A9,""pt"",""en"")"),"Part ID:")</f>
        <v>Part ID:</v>
      </c>
      <c r="D9" s="86" t="str">
        <f>IFERROR(__xludf.DUMMYFUNCTION("GOOGLETRANSLATE(B9,""pt"",""en"")"),"#VALUE!")</f>
        <v>#VALUE!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84" t="s">
        <v>175</v>
      </c>
      <c r="B10" s="85"/>
      <c r="C10" s="84" t="str">
        <f>IFERROR(__xludf.DUMMYFUNCTION("GOOGLETRANSLATE(A10,""pt"",""en"")"),"Build File ID:")</f>
        <v>Build File ID:</v>
      </c>
      <c r="D10" s="86" t="str">
        <f>IFERROR(__xludf.DUMMYFUNCTION("GOOGLETRANSLATE(B10,""pt"",""en"")"),"#VALUE!")</f>
        <v>#VALUE!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84" t="s">
        <v>176</v>
      </c>
      <c r="B11" s="85"/>
      <c r="C11" s="84" t="str">
        <f>IFERROR(__xludf.DUMMYFUNCTION("GOOGLETRANSLATE(A11,""pt"",""en"")"),"Build File Version:")</f>
        <v>Build File Version:</v>
      </c>
      <c r="D11" s="86" t="str">
        <f>IFERROR(__xludf.DUMMYFUNCTION("GOOGLETRANSLATE(B11,""pt"",""en"")"),"#VALUE!")</f>
        <v>#VALUE!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84" t="s">
        <v>177</v>
      </c>
      <c r="B12" s="86"/>
      <c r="C12" s="84" t="str">
        <f>IFERROR(__xludf.DUMMYFUNCTION("GOOGLETRANSLATE(A12,""pt"",""en"")"),"Reference to BPQR:")</f>
        <v>Reference to BPQR:</v>
      </c>
      <c r="D12" s="86" t="str">
        <f>IFERROR(__xludf.DUMMYFUNCTION("GOOGLETRANSLATE(B12,""pt"",""en"")"),"#VALUE!")</f>
        <v>#VALUE!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84" t="s">
        <v>178</v>
      </c>
      <c r="B13" s="87"/>
      <c r="C13" s="84" t="str">
        <f>IFERROR(__xludf.DUMMYFUNCTION("GOOGLETRANSLATE(A13,""pt"",""en"")"),"Reference to PQR:")</f>
        <v>Reference to PQR:</v>
      </c>
      <c r="D13" s="86" t="str">
        <f>IFERROR(__xludf.DUMMYFUNCTION("GOOGLETRANSLATE(B13,""pt"",""en"")"),"#VALUE!")</f>
        <v>#VALUE!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88" t="s">
        <v>179</v>
      </c>
      <c r="B14" s="89"/>
      <c r="C14" s="88" t="str">
        <f>IFERROR(__xludf.DUMMYFUNCTION("GOOGLETRANSLATE(A14,""pt"",""en"")"),"1. Hardware and software")</f>
        <v>1. Hardware and software</v>
      </c>
      <c r="D14" s="86" t="str">
        <f>IFERROR(__xludf.DUMMYFUNCTION("GOOGLETRANSLATE(B14,""pt"",""en"")"),"#VALUE!")</f>
        <v>#VALUE!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84" t="s">
        <v>180</v>
      </c>
      <c r="B15" s="90"/>
      <c r="C15" s="84" t="str">
        <f>IFERROR(__xludf.DUMMYFUNCTION("GOOGLETRANSLATE(A15,""pt"",""en"")"),"MA Technology:")</f>
        <v>MA Technology:</v>
      </c>
      <c r="D15" s="86" t="str">
        <f>IFERROR(__xludf.DUMMYFUNCTION("GOOGLETRANSLATE(B15,""pt"",""en"")"),"#VALUE!")</f>
        <v>#VALUE!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84" t="s">
        <v>181</v>
      </c>
      <c r="B16" s="90"/>
      <c r="C16" s="84" t="str">
        <f>IFERROR(__xludf.DUMMYFUNCTION("GOOGLETRANSLATE(A16,""pt"",""en"")"),"MA equipment:")</f>
        <v>MA equipment:</v>
      </c>
      <c r="D16" s="86" t="str">
        <f>IFERROR(__xludf.DUMMYFUNCTION("GOOGLETRANSLATE(B16,""pt"",""en"")"),"#VALUE!")</f>
        <v>#VALUE!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84" t="s">
        <v>182</v>
      </c>
      <c r="B17" s="90"/>
      <c r="C17" s="84" t="str">
        <f>IFERROR(__xludf.DUMMYFUNCTION("GOOGLETRANSLATE(A17,""pt"",""en"")"),"Power Source:")</f>
        <v>Power Source:</v>
      </c>
      <c r="D17" s="86" t="str">
        <f>IFERROR(__xludf.DUMMYFUNCTION("GOOGLETRANSLATE(B17,""pt"",""en"")"),"#VALUE!")</f>
        <v>#VALUE!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84" t="s">
        <v>183</v>
      </c>
      <c r="B18" s="90"/>
      <c r="C18" s="84" t="str">
        <f>IFERROR(__xludf.DUMMYFUNCTION("GOOGLETRANSLATE(A18,""pt"",""en"")"),"Laser (Details):")</f>
        <v>Laser (Details):</v>
      </c>
      <c r="D18" s="86" t="str">
        <f>IFERROR(__xludf.DUMMYFUNCTION("GOOGLETRANSLATE(B18,""pt"",""en"")"),"#VALUE!")</f>
        <v>#VALUE!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84" t="s">
        <v>184</v>
      </c>
      <c r="B19" s="90"/>
      <c r="C19" s="84" t="str">
        <f>IFERROR(__xludf.DUMMYFUNCTION("GOOGLETRANSLATE(A19,""pt"",""en"")"),"Positioner:")</f>
        <v>Positioner:</v>
      </c>
      <c r="D19" s="86" t="str">
        <f>IFERROR(__xludf.DUMMYFUNCTION("GOOGLETRANSLATE(B19,""pt"",""en"")"),"#VALUE!")</f>
        <v>#VALUE!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84" t="s">
        <v>185</v>
      </c>
      <c r="B20" s="90"/>
      <c r="C20" s="84" t="str">
        <f>IFERROR(__xludf.DUMMYFUNCTION("GOOGLETRANSLATE(A20,""pt"",""en"")"),"Feeding Mechanism:")</f>
        <v>Feeding Mechanism:</v>
      </c>
      <c r="D20" s="86" t="str">
        <f>IFERROR(__xludf.DUMMYFUNCTION("GOOGLETRANSLATE(B20,""pt"",""en"")"),"#VALUE!")</f>
        <v>#VALUE!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84" t="s">
        <v>186</v>
      </c>
      <c r="B21" s="90"/>
      <c r="C21" s="84" t="str">
        <f>IFERROR(__xludf.DUMMYFUNCTION("GOOGLETRANSLATE(A21,""pt"",""en"")"),"Control System:")</f>
        <v>Control System:</v>
      </c>
      <c r="D21" s="86" t="str">
        <f>IFERROR(__xludf.DUMMYFUNCTION("GOOGLETRANSLATE(B21,""pt"",""en"")"),"#VALUE!")</f>
        <v>#VALUE!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84" t="s">
        <v>187</v>
      </c>
      <c r="B22" s="90"/>
      <c r="C22" s="84" t="str">
        <f>IFERROR(__xludf.DUMMYFUNCTION("GOOGLETRANSLATE(A22,""pt"",""en"")"),"Software and Firmware:")</f>
        <v>Software and Firmware:</v>
      </c>
      <c r="D22" s="86" t="str">
        <f>IFERROR(__xludf.DUMMYFUNCTION("GOOGLETRANSLATE(B22,""pt"",""en"")"),"#VALUE!")</f>
        <v>#VALUE!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88" t="s">
        <v>188</v>
      </c>
      <c r="B23" s="89"/>
      <c r="C23" s="88" t="str">
        <f>IFERROR(__xludf.DUMMYFUNCTION("GOOGLETRANSLATE(A23,""pt"",""en"")"),"2. Materials and consumables")</f>
        <v>2. Materials and consumables</v>
      </c>
      <c r="D23" s="86" t="str">
        <f>IFERROR(__xludf.DUMMYFUNCTION("GOOGLETRANSLATE(B23,""pt"",""en"")"),"#VALUE!")</f>
        <v>#VALUE!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84" t="s">
        <v>189</v>
      </c>
      <c r="B24" s="89"/>
      <c r="C24" s="84" t="str">
        <f>IFERROR(__xludf.DUMMYFUNCTION("GOOGLETRANSLATE(A24,""pt"",""en"")"),"Feeding material (Alloy):")</f>
        <v>Feeding material (Alloy):</v>
      </c>
      <c r="D24" s="86" t="str">
        <f>IFERROR(__xludf.DUMMYFUNCTION("GOOGLETRANSLATE(B24,""pt"",""en"")"),"#VALUE!")</f>
        <v>#VALUE!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84" t="s">
        <v>190</v>
      </c>
      <c r="B25" s="89"/>
      <c r="C25" s="84" t="str">
        <f>IFERROR(__xludf.DUMMYFUNCTION("GOOGLETRANSLATE(A25,""pt"",""en"")"),"Feeding material (Form):")</f>
        <v>Feeding material (Form):</v>
      </c>
      <c r="D25" s="86" t="str">
        <f>IFERROR(__xludf.DUMMYFUNCTION("GOOGLETRANSLATE(B25,""pt"",""en"")"),"#VALUE!")</f>
        <v>#VALUE!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84" t="s">
        <v>191</v>
      </c>
      <c r="B26" s="89"/>
      <c r="C26" s="84" t="str">
        <f>IFERROR(__xludf.DUMMYFUNCTION("GOOGLETRANSLATE(A26,""pt"",""en"")"),"Material Certificate (Lot):")</f>
        <v>Material Certificate (Lot):</v>
      </c>
      <c r="D26" s="86" t="str">
        <f>IFERROR(__xludf.DUMMYFUNCTION("GOOGLETRANSLATE(B26,""pt"",""en"")"),"#VALUE!")</f>
        <v>#VALUE!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84" t="s">
        <v>192</v>
      </c>
      <c r="B27" s="89"/>
      <c r="C27" s="84" t="str">
        <f>IFERROR(__xludf.DUMMYFUNCTION("GOOGLETRANSLATE(A27,""pt"",""en"")"),"Powder characteristics:")</f>
        <v>Powder characteristics:</v>
      </c>
      <c r="D27" s="86" t="str">
        <f>IFERROR(__xludf.DUMMYFUNCTION("GOOGLETRANSLATE(B27,""pt"",""en"")"),"#VALUE!")</f>
        <v>#VALUE!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84" t="s">
        <v>193</v>
      </c>
      <c r="B28" s="89"/>
      <c r="C28" s="84" t="str">
        <f>IFERROR(__xludf.DUMMYFUNCTION("GOOGLETRANSLATE(A28,""pt"",""en"")"),"Wire diameter:")</f>
        <v>Wire diameter:</v>
      </c>
      <c r="D28" s="86" t="str">
        <f>IFERROR(__xludf.DUMMYFUNCTION("GOOGLETRANSLATE(B28,""pt"",""en"")"),"#VALUE!")</f>
        <v>#VALUE!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84" t="s">
        <v>194</v>
      </c>
      <c r="B29" s="89"/>
      <c r="C29" s="84" t="str">
        <f>IFERROR(__xludf.DUMMYFUNCTION("GOOGLETRANSLATE(A29,""pt"",""en"")"),"Substrate (Material / Batch):")</f>
        <v>Substrate (Material / Batch):</v>
      </c>
      <c r="D29" s="86" t="str">
        <f>IFERROR(__xludf.DUMMYFUNCTION("GOOGLETRANSLATE(B29,""pt"",""en"")"),"#VALUE!")</f>
        <v>#VALUE!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84" t="s">
        <v>195</v>
      </c>
      <c r="B30" s="89"/>
      <c r="C30" s="84" t="str">
        <f>IFERROR(__xludf.DUMMYFUNCTION("GOOGLETRANSLATE(A30,""pt"",""en"")"),"Shielding gas (Composition):")</f>
        <v>Shielding gas (Composition):</v>
      </c>
      <c r="D30" s="86" t="str">
        <f>IFERROR(__xludf.DUMMYFUNCTION("GOOGLETRANSLATE(B30,""pt"",""en"")"),"#VALUE!")</f>
        <v>#VALUE!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84" t="s">
        <v>196</v>
      </c>
      <c r="B31" s="89"/>
      <c r="C31" s="84" t="str">
        <f>IFERROR(__xludf.DUMMYFUNCTION("GOOGLETRANSLATE(A31,""pt"",""en"")"),"Transport gas (Composition):")</f>
        <v>Transport gas (Composition):</v>
      </c>
      <c r="D31" s="86" t="str">
        <f>IFERROR(__xludf.DUMMYFUNCTION("GOOGLETRANSLATE(B31,""pt"",""en"")"),"#VALUE!")</f>
        <v>#VALUE!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88" t="s">
        <v>197</v>
      </c>
      <c r="B32" s="89"/>
      <c r="C32" s="88" t="str">
        <f>IFERROR(__xludf.DUMMYFUNCTION("GOOGLETRANSLATE(A32,""pt"",""en"")"),"2. Post-processing")</f>
        <v>2. Post-processing</v>
      </c>
      <c r="D32" s="86" t="str">
        <f>IFERROR(__xludf.DUMMYFUNCTION("GOOGLETRANSLATE(B32,""pt"",""en"")"),"#VALUE!")</f>
        <v>#VALUE!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84" t="s">
        <v>198</v>
      </c>
      <c r="B33" s="89"/>
      <c r="C33" s="84" t="str">
        <f>IFERROR(__xludf.DUMMYFUNCTION("GOOGLETRANSLATE(A33,""pt"",""en"")"),"Thermal post-processing:")</f>
        <v>Thermal post-processing:</v>
      </c>
      <c r="D33" s="86" t="str">
        <f>IFERROR(__xludf.DUMMYFUNCTION("GOOGLETRANSLATE(B33,""pt"",""en"")"),"#VALUE!")</f>
        <v>#VALUE!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88" t="s">
        <v>199</v>
      </c>
      <c r="B34" s="89"/>
      <c r="C34" s="88" t="str">
        <f>IFERROR(__xludf.DUMMYFUNCTION("GOOGLETRANSLATE(A34,""pt"",""en"")"),"3. Process parameters")</f>
        <v>3. Process parameters</v>
      </c>
      <c r="D34" s="86" t="s">
        <v>200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84" t="s">
        <v>201</v>
      </c>
      <c r="B35" s="89"/>
      <c r="C35" s="84" t="str">
        <f>IFERROR(__xludf.DUMMYFUNCTION("GOOGLETRANSLATE(A35,""pt"",""en"")"),"Preheating:")</f>
        <v>Preheating:</v>
      </c>
      <c r="D35" s="86" t="str">
        <f>IFERROR(__xludf.DUMMYFUNCTION("GOOGLETRANSLATE(B35,""pt"",""en"")"),"#VALUE!")</f>
        <v>#VALUE!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84" t="s">
        <v>202</v>
      </c>
      <c r="B36" s="89"/>
      <c r="C36" s="84" t="str">
        <f>IFERROR(__xludf.DUMMYFUNCTION("GOOGLETRANSLATE(A36,""pt"",""en"")"),"Temperature between passes:")</f>
        <v>Temperature between passes:</v>
      </c>
      <c r="D36" s="86" t="str">
        <f>IFERROR(__xludf.DUMMYFUNCTION("GOOGLETRANSLATE(B36,""pt"",""en"")"),"#VALUE!")</f>
        <v>#VALUE!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84" t="s">
        <v>203</v>
      </c>
      <c r="B37" s="89"/>
      <c r="C37" s="84" t="str">
        <f>IFERROR(__xludf.DUMMYFUNCTION("GOOGLETRANSLATE(A37,""pt"",""en"")"),"Cleaning method between passes:")</f>
        <v>Cleaning method between passes:</v>
      </c>
      <c r="D37" s="86" t="str">
        <f>IFERROR(__xludf.DUMMYFUNCTION("GOOGLETRANSLATE(B37,""pt"",""en"")"),"#VALUE!")</f>
        <v>#VALUE!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84" t="s">
        <v>204</v>
      </c>
      <c r="B38" s="89"/>
      <c r="C38" s="84" t="str">
        <f>IFERROR(__xludf.DUMMYFUNCTION("GOOGLETRANSLATE(A38,""pt"",""en"")"),"Forced cooling:")</f>
        <v>Forced cooling:</v>
      </c>
      <c r="D38" s="86" t="str">
        <f>IFERROR(__xludf.DUMMYFUNCTION("GOOGLETRANSLATE(B38,""pt"",""en"")"),"#VALUE!")</f>
        <v>#VALUE!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84" t="s">
        <v>205</v>
      </c>
      <c r="B39" s="89"/>
      <c r="C39" s="84" t="str">
        <f>IFERROR(__xludf.DUMMYFUNCTION("GOOGLETRANSLATE(A39,""pt"",""en"")"),"Construction thickness:")</f>
        <v>Construction thickness:</v>
      </c>
      <c r="D39" s="86" t="str">
        <f>IFERROR(__xludf.DUMMYFUNCTION("GOOGLETRANSLATE(B39,""pt"",""en"")"),"#VALUE!")</f>
        <v>#VALUE!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84" t="s">
        <v>206</v>
      </c>
      <c r="B40" s="89"/>
      <c r="C40" s="84" t="str">
        <f>IFERROR(__xludf.DUMMYFUNCTION("GOOGLETRANSLATE(A40,""pt"",""en"")"),"Deposition strategy:")</f>
        <v>Deposition strategy:</v>
      </c>
      <c r="D40" s="86" t="str">
        <f>IFERROR(__xludf.DUMMYFUNCTION("GOOGLETRANSLATE(B40,""pt"",""en"")"),"#VALUE!")</f>
        <v>#VALUE!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84" t="s">
        <v>207</v>
      </c>
      <c r="B41" s="89"/>
      <c r="C41" s="84" t="str">
        <f>IFERROR(__xludf.DUMMYFUNCTION("GOOGLETRANSLATE(A41,""pt"",""en"")"),"Degree of overlap between adjacent strands:")</f>
        <v>Degree of overlap between adjacent strands:</v>
      </c>
      <c r="D41" s="86" t="str">
        <f>IFERROR(__xludf.DUMMYFUNCTION("GOOGLETRANSLATE(B41,""pt"",""en"")"),"#VALUE!")</f>
        <v>#VALUE!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84" t="s">
        <v>208</v>
      </c>
      <c r="B42" s="89"/>
      <c r="C42" s="84" t="str">
        <f>IFERROR(__xludf.DUMMYFUNCTION("GOOGLETRANSLATE(A42,""pt"",""en"")"),"Construction position (according to ISO 6947 or similar):")</f>
        <v>Construction position (according to ISO 6947 or similar):</v>
      </c>
      <c r="D42" s="86" t="str">
        <f>IFERROR(__xludf.DUMMYFUNCTION("GOOGLETRANSLATE(B42,""pt"",""en"")"),"#VALUE!")</f>
        <v>#VALUE!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84" t="s">
        <v>209</v>
      </c>
      <c r="B43" s="89"/>
      <c r="C43" s="84" t="str">
        <f>IFERROR(__xludf.DUMMYFUNCTION("GOOGLETRANSLATE(A43,""pt"",""en"")"),"Powder or wire feed rate:")</f>
        <v>Powder or wire feed rate:</v>
      </c>
      <c r="D43" s="86" t="str">
        <f>IFERROR(__xludf.DUMMYFUNCTION("GOOGLETRANSLATE(B43,""pt"",""en"")"),"#VALUE!")</f>
        <v>#VALUE!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84" t="s">
        <v>210</v>
      </c>
      <c r="B44" s="89"/>
      <c r="C44" s="84" t="str">
        <f>IFERROR(__xludf.DUMMYFUNCTION("GOOGLETRANSLATE(A44,""pt"",""en"")"),"Layer height:")</f>
        <v>Layer height:</v>
      </c>
      <c r="D44" s="86" t="str">
        <f>IFERROR(__xludf.DUMMYFUNCTION("GOOGLETRANSLATE(B44,""pt"",""en"")"),"#VALUE!")</f>
        <v>#VALUE!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84" t="s">
        <v>211</v>
      </c>
      <c r="B45" s="89"/>
      <c r="C45" s="84" t="str">
        <f>IFERROR(__xludf.DUMMYFUNCTION("GOOGLETRANSLATE(A45,""pt"",""en"")"),"Distance between the nozzle and the substrate (initial layer):")</f>
        <v>Distance between the nozzle and the substrate (initial layer):</v>
      </c>
      <c r="D45" s="86" t="str">
        <f>IFERROR(__xludf.DUMMYFUNCTION("GOOGLETRANSLATE(B45,""pt"",""en"")"),"#VALUE!")</f>
        <v>#VALUE!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84" t="s">
        <v>212</v>
      </c>
      <c r="B46" s="89"/>
      <c r="C46" s="84" t="str">
        <f>IFERROR(__xludf.DUMMYFUNCTION("GOOGLETRANSLATE(A46,""pt"",""en"")"),"Distance between the nozzle and the deposited material:")</f>
        <v>Distance between the nozzle and the deposited material:</v>
      </c>
      <c r="D46" s="86" t="str">
        <f>IFERROR(__xludf.DUMMYFUNCTION("GOOGLETRANSLATE(B46,""pt"",""en"")"),"#VALUE!")</f>
        <v>#VALUE!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84" t="s">
        <v>213</v>
      </c>
      <c r="B47" s="89"/>
      <c r="C47" s="84" t="str">
        <f>IFERROR(__xludf.DUMMYFUNCTION("GOOGLETRANSLATE(A47,""pt"",""en"")"),"Energy density:")</f>
        <v>Energy density:</v>
      </c>
      <c r="D47" s="86" t="str">
        <f>IFERROR(__xludf.DUMMYFUNCTION("GOOGLETRANSLATE(B47,""pt"",""en"")"),"#VALUE!")</f>
        <v>#VALUE!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84" t="s">
        <v>214</v>
      </c>
      <c r="B48" s="89"/>
      <c r="C48" s="84" t="str">
        <f>IFERROR(__xludf.DUMMYFUNCTION("GOOGLETRANSLATE(A48,""pt"",""en"")"),"Pulse characteristics:")</f>
        <v>Pulse characteristics:</v>
      </c>
      <c r="D48" s="86" t="str">
        <f>IFERROR(__xludf.DUMMYFUNCTION("GOOGLETRANSLATE(B48,""pt"",""en"")"),"#VALUE!")</f>
        <v>#VALUE!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84" t="s">
        <v>215</v>
      </c>
      <c r="B49" s="89"/>
      <c r="C49" s="84" t="str">
        <f>IFERROR(__xludf.DUMMYFUNCTION("GOOGLETRANSLATE(A49,""pt"",""en"")"),"Laser spot size:")</f>
        <v>Laser spot size:</v>
      </c>
      <c r="D49" s="86" t="str">
        <f>IFERROR(__xludf.DUMMYFUNCTION("GOOGLETRANSLATE(B49,""pt"",""en"")"),"#VALUE!")</f>
        <v>#VALUE!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84" t="s">
        <v>216</v>
      </c>
      <c r="B50" s="89"/>
      <c r="C50" s="84" t="str">
        <f>IFERROR(__xludf.DUMMYFUNCTION("GOOGLETRANSLATE(A50,""pt"",""en"")"),"Straight or braided cord:")</f>
        <v>Straight or braided cord:</v>
      </c>
      <c r="D50" s="86" t="str">
        <f>IFERROR(__xludf.DUMMYFUNCTION("GOOGLETRANSLATE(B50,""pt"",""en"")"),"#VALUE!")</f>
        <v>#VALUE!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84" t="s">
        <v>217</v>
      </c>
      <c r="B51" s="89"/>
      <c r="C51" s="84" t="str">
        <f>IFERROR(__xludf.DUMMYFUNCTION("GOOGLETRANSLATE(A51,""pt"",""en"")"),"Shielding gas flow rate:")</f>
        <v>Shielding gas flow rate:</v>
      </c>
      <c r="D51" s="86" t="str">
        <f>IFERROR(__xludf.DUMMYFUNCTION("GOOGLETRANSLATE(B51,""pt"",""en"")"),"#VALUE!")</f>
        <v>#VALUE!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84" t="s">
        <v>218</v>
      </c>
      <c r="B52" s="89"/>
      <c r="C52" s="84" t="str">
        <f>IFERROR(__xludf.DUMMYFUNCTION("GOOGLETRANSLATE(A52,""pt"",""en"")"),"Dimensions of the protective gas nozzle, if applicable:")</f>
        <v>Dimensions of the protective gas nozzle, if applicable:</v>
      </c>
      <c r="D52" s="86" t="str">
        <f>IFERROR(__xludf.DUMMYFUNCTION("GOOGLETRANSLATE(B52,""pt"",""en"")"),"#VALUE!")</f>
        <v>#VALUE!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84" t="s">
        <v>219</v>
      </c>
      <c r="B53" s="89"/>
      <c r="C53" s="84" t="str">
        <f>IFERROR(__xludf.DUMMYFUNCTION("GOOGLETRANSLATE(A53,""pt"",""en"")"),"Atmospheric oxygen content, if applicable:")</f>
        <v>Atmospheric oxygen content, if applicable:</v>
      </c>
      <c r="D53" s="86" t="str">
        <f>IFERROR(__xludf.DUMMYFUNCTION("GOOGLETRANSLATE(B53,""pt"",""en"")"),"#VALUE!")</f>
        <v>#VALUE!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1"/>
    </row>
    <row r="55" ht="12.75" customHeight="1">
      <c r="A55" s="39" t="s">
        <v>220</v>
      </c>
      <c r="B55" s="39" t="s">
        <v>8</v>
      </c>
      <c r="C55" s="39" t="s">
        <v>46</v>
      </c>
      <c r="D55" s="39" t="s">
        <v>47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hidden="1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hidden="1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hidden="1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hidden="1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hidden="1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2.75" hidden="1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75" hidden="1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2.75" hidden="1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2.75" hidden="1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2.75" hidden="1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2.75" hidden="1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2.75" hidden="1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2.75" hidden="1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2.75" hidden="1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2.75" hidden="1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2.75" hidden="1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2.75" hidden="1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</sheetData>
  <mergeCells count="3">
    <mergeCell ref="B2:C2"/>
    <mergeCell ref="A3:D3"/>
    <mergeCell ref="A54:Z54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0"/>
    <col customWidth="1" min="2" max="2" width="49.13"/>
    <col customWidth="1" min="3" max="3" width="52.63"/>
    <col customWidth="1" min="4" max="4" width="52.88"/>
    <col customWidth="1" hidden="1" min="5" max="5" width="9.13"/>
    <col customWidth="1" hidden="1" min="6" max="6" width="13.75"/>
    <col customWidth="1" hidden="1" min="7" max="26" width="8.63"/>
  </cols>
  <sheetData>
    <row r="1" ht="9.0" customHeight="1">
      <c r="A1" s="13"/>
      <c r="B1" s="14"/>
      <c r="C1" s="14"/>
      <c r="D1" s="13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50.25" customHeight="1">
      <c r="A2" s="16"/>
      <c r="B2" s="17" t="s">
        <v>168</v>
      </c>
      <c r="C2" s="18"/>
      <c r="D2" s="19" t="s">
        <v>169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63" t="s">
        <v>1</v>
      </c>
      <c r="D3" s="8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25" t="s">
        <v>221</v>
      </c>
      <c r="B4" s="26" t="s">
        <v>3</v>
      </c>
      <c r="C4" s="25" t="s">
        <v>222</v>
      </c>
      <c r="D4" s="26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81" t="s">
        <v>6</v>
      </c>
      <c r="B5" s="82"/>
      <c r="C5" s="81" t="str">
        <f>IFERROR(__xludf.DUMMYFUNCTION("GOOGLETRANSLATE(A5,""pt"",""en"")"),"Title:")</f>
        <v>Title:</v>
      </c>
      <c r="D5" s="83" t="str">
        <f>IFERROR(__xludf.DUMMYFUNCTION("GOOGLETRANSLATE(B5,""pt"",""en"")"),"#VALUE!")</f>
        <v>#VALUE!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84" t="s">
        <v>16</v>
      </c>
      <c r="B6" s="85"/>
      <c r="C6" s="84" t="str">
        <f>IFERROR(__xludf.DUMMYFUNCTION("GOOGLETRANSLATE(A6,""pt"",""en"")"),"Identification number:")</f>
        <v>Identification number:</v>
      </c>
      <c r="D6" s="86" t="str">
        <f>IFERROR(__xludf.DUMMYFUNCTION("GOOGLETRANSLATE(B6,""pt"",""en"")"),"#VALUE!")</f>
        <v>#VALUE!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84" t="s">
        <v>172</v>
      </c>
      <c r="B7" s="85"/>
      <c r="C7" s="84" t="str">
        <f>IFERROR(__xludf.DUMMYFUNCTION("GOOGLETRANSLATE(A7,""pt"",""en"")"),"Date of Preparation/Revision:")</f>
        <v>Date of Preparation/Revision:</v>
      </c>
      <c r="D7" s="86" t="str">
        <f>IFERROR(__xludf.DUMMYFUNCTION("GOOGLETRANSLATE(B7,""pt"",""en"")"),"#VALUE!")</f>
        <v>#VALUE!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84" t="s">
        <v>173</v>
      </c>
      <c r="B8" s="85"/>
      <c r="C8" s="84" t="str">
        <f>IFERROR(__xludf.DUMMYFUNCTION("GOOGLETRANSLATE(A8,""pt"",""en"")"),"Project:")</f>
        <v>Project:</v>
      </c>
      <c r="D8" s="86" t="str">
        <f>IFERROR(__xludf.DUMMYFUNCTION("GOOGLETRANSLATE(B8,""pt"",""en"")"),"#VALUE!")</f>
        <v>#VALUE!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84" t="s">
        <v>174</v>
      </c>
      <c r="B9" s="85"/>
      <c r="C9" s="84" t="str">
        <f>IFERROR(__xludf.DUMMYFUNCTION("GOOGLETRANSLATE(A9,""pt"",""en"")"),"Part ID:")</f>
        <v>Part ID:</v>
      </c>
      <c r="D9" s="86" t="str">
        <f>IFERROR(__xludf.DUMMYFUNCTION("GOOGLETRANSLATE(B9,""pt"",""en"")"),"#VALUE!")</f>
        <v>#VALUE!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84" t="s">
        <v>175</v>
      </c>
      <c r="B10" s="85"/>
      <c r="C10" s="84" t="str">
        <f>IFERROR(__xludf.DUMMYFUNCTION("GOOGLETRANSLATE(A10,""pt"",""en"")"),"Build File ID:")</f>
        <v>Build File ID:</v>
      </c>
      <c r="D10" s="86" t="str">
        <f>IFERROR(__xludf.DUMMYFUNCTION("GOOGLETRANSLATE(B10,""pt"",""en"")"),"#VALUE!")</f>
        <v>#VALUE!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84" t="s">
        <v>176</v>
      </c>
      <c r="B11" s="85"/>
      <c r="C11" s="84" t="str">
        <f>IFERROR(__xludf.DUMMYFUNCTION("GOOGLETRANSLATE(A11,""pt"",""en"")"),"Build File Version:")</f>
        <v>Build File Version:</v>
      </c>
      <c r="D11" s="86" t="str">
        <f>IFERROR(__xludf.DUMMYFUNCTION("GOOGLETRANSLATE(B11,""pt"",""en"")"),"#VALUE!")</f>
        <v>#VALUE!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84" t="s">
        <v>177</v>
      </c>
      <c r="B12" s="86"/>
      <c r="C12" s="84" t="str">
        <f>IFERROR(__xludf.DUMMYFUNCTION("GOOGLETRANSLATE(A12,""pt"",""en"")"),"Reference to BPQR:")</f>
        <v>Reference to BPQR:</v>
      </c>
      <c r="D12" s="86" t="str">
        <f>IFERROR(__xludf.DUMMYFUNCTION("GOOGLETRANSLATE(B12,""pt"",""en"")"),"#VALUE!")</f>
        <v>#VALUE!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84" t="s">
        <v>178</v>
      </c>
      <c r="B13" s="87"/>
      <c r="C13" s="84" t="str">
        <f>IFERROR(__xludf.DUMMYFUNCTION("GOOGLETRANSLATE(A13,""pt"",""en"")"),"Reference to PQR:")</f>
        <v>Reference to PQR:</v>
      </c>
      <c r="D13" s="86" t="str">
        <f>IFERROR(__xludf.DUMMYFUNCTION("GOOGLETRANSLATE(B13,""pt"",""en"")"),"#VALUE!")</f>
        <v>#VALUE!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88" t="s">
        <v>179</v>
      </c>
      <c r="B14" s="89"/>
      <c r="C14" s="88" t="str">
        <f>IFERROR(__xludf.DUMMYFUNCTION("GOOGLETRANSLATE(A14,""pt"",""en"")"),"1. Hardware and software")</f>
        <v>1. Hardware and software</v>
      </c>
      <c r="D14" s="86" t="str">
        <f>IFERROR(__xludf.DUMMYFUNCTION("GOOGLETRANSLATE(B14,""pt"",""en"")"),"#VALUE!")</f>
        <v>#VALUE!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92" t="s">
        <v>180</v>
      </c>
      <c r="B15" s="90"/>
      <c r="C15" s="84" t="str">
        <f>IFERROR(__xludf.DUMMYFUNCTION("GOOGLETRANSLATE(A15,""pt"",""en"")"),"MA Technology:")</f>
        <v>MA Technology:</v>
      </c>
      <c r="D15" s="86" t="str">
        <f>IFERROR(__xludf.DUMMYFUNCTION("GOOGLETRANSLATE(B15,""pt"",""en"")"),"#VALUE!")</f>
        <v>#VALUE!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92" t="s">
        <v>181</v>
      </c>
      <c r="B16" s="90"/>
      <c r="C16" s="84" t="str">
        <f>IFERROR(__xludf.DUMMYFUNCTION("GOOGLETRANSLATE(A16,""pt"",""en"")"),"MA equipment:")</f>
        <v>MA equipment:</v>
      </c>
      <c r="D16" s="86" t="str">
        <f>IFERROR(__xludf.DUMMYFUNCTION("GOOGLETRANSLATE(B16,""pt"",""en"")"),"#VALUE!")</f>
        <v>#VALUE!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93" t="s">
        <v>223</v>
      </c>
      <c r="B17" s="90"/>
      <c r="C17" s="84" t="str">
        <f>IFERROR(__xludf.DUMMYFUNCTION("GOOGLETRANSLATE(A17,""pt"",""en"")"),"Build plate:")</f>
        <v>Build plate:</v>
      </c>
      <c r="D17" s="86" t="str">
        <f>IFERROR(__xludf.DUMMYFUNCTION("GOOGLETRANSLATE(B17,""pt"",""en"")"),"#VALUE!")</f>
        <v>#VALUE!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93" t="s">
        <v>224</v>
      </c>
      <c r="B18" s="90"/>
      <c r="C18" s="84" t="str">
        <f>IFERROR(__xludf.DUMMYFUNCTION("GOOGLETRANSLATE(A18,""pt"",""en"")"),"Recoater:")</f>
        <v>Recoater:</v>
      </c>
      <c r="D18" s="86" t="str">
        <f>IFERROR(__xludf.DUMMYFUNCTION("GOOGLETRANSLATE(B18,""pt"",""en"")"),"#VALUE!")</f>
        <v>#VALUE!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3" t="s">
        <v>225</v>
      </c>
      <c r="B19" s="90"/>
      <c r="C19" s="84" t="str">
        <f>IFERROR(__xludf.DUMMYFUNCTION("GOOGLETRANSLATE(A19,""pt"",""en"")"),"Laser system and optics:")</f>
        <v>Laser system and optics:</v>
      </c>
      <c r="D19" s="86" t="str">
        <f>IFERROR(__xludf.DUMMYFUNCTION("GOOGLETRANSLATE(B19,""pt"",""en"")"),"#VALUE!")</f>
        <v>#VALUE!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2" t="s">
        <v>187</v>
      </c>
      <c r="B20" s="90"/>
      <c r="C20" s="84" t="str">
        <f>IFERROR(__xludf.DUMMYFUNCTION("GOOGLETRANSLATE(A20,""pt"",""en"")"),"Software and Firmware:")</f>
        <v>Software and Firmware:</v>
      </c>
      <c r="D20" s="86" t="str">
        <f>IFERROR(__xludf.DUMMYFUNCTION("GOOGLETRANSLATE(B20,""pt"",""en"")"),"#VALUE!")</f>
        <v>#VALUE!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3" t="s">
        <v>226</v>
      </c>
      <c r="B21" s="90"/>
      <c r="C21" s="84" t="str">
        <f>IFERROR(__xludf.DUMMYFUNCTION("GOOGLETRANSLATE(A21,""pt"",""en"")"),"Sieve:")</f>
        <v>Sieve:</v>
      </c>
      <c r="D21" s="86" t="str">
        <f>IFERROR(__xludf.DUMMYFUNCTION("GOOGLETRANSLATE(B21,""pt"",""en"")"),"#VALUE!")</f>
        <v>#VALUE!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88" t="s">
        <v>227</v>
      </c>
      <c r="B22" s="90"/>
      <c r="C22" s="84" t="str">
        <f>IFERROR(__xludf.DUMMYFUNCTION("GOOGLETRANSLATE(A22,""pt"",""en"")"),"2. Materials and consumables")</f>
        <v>2. Materials and consumables</v>
      </c>
      <c r="D22" s="86" t="str">
        <f>IFERROR(__xludf.DUMMYFUNCTION("GOOGLETRANSLATE(B22,""pt"",""en"")"),"#VALUE!")</f>
        <v>#VALUE!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4" t="s">
        <v>189</v>
      </c>
      <c r="B23" s="89"/>
      <c r="C23" s="88" t="str">
        <f>IFERROR(__xludf.DUMMYFUNCTION("GOOGLETRANSLATE(A23,""pt"",""en"")"),"Feeding material (Alloy):")</f>
        <v>Feeding material (Alloy):</v>
      </c>
      <c r="D23" s="86" t="str">
        <f>IFERROR(__xludf.DUMMYFUNCTION("GOOGLETRANSLATE(B23,""pt"",""en"")"),"#VALUE!")</f>
        <v>#VALUE!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5" t="s">
        <v>228</v>
      </c>
      <c r="B24" s="89"/>
      <c r="C24" s="84" t="str">
        <f>IFERROR(__xludf.DUMMYFUNCTION("GOOGLETRANSLATE(A24,""pt"",""en"")"),"Chemical composition:")</f>
        <v>Chemical composition:</v>
      </c>
      <c r="D24" s="86" t="str">
        <f>IFERROR(__xludf.DUMMYFUNCTION("GOOGLETRANSLATE(B24,""pt"",""en"")"),"#VALUE!")</f>
        <v>#VALUE!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5" t="s">
        <v>229</v>
      </c>
      <c r="B25" s="89"/>
      <c r="C25" s="84" t="str">
        <f>IFERROR(__xludf.DUMMYFUNCTION("GOOGLETRANSLATE(A25,""pt"",""en"")"),"Particle shape:")</f>
        <v>Particle shape:</v>
      </c>
      <c r="D25" s="86" t="str">
        <f>IFERROR(__xludf.DUMMYFUNCTION("GOOGLETRANSLATE(B25,""pt"",""en"")"),"#VALUE!")</f>
        <v>#VALUE!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5" t="s">
        <v>230</v>
      </c>
      <c r="B26" s="89"/>
      <c r="C26" s="84" t="str">
        <f>IFERROR(__xludf.DUMMYFUNCTION("GOOGLETRANSLATE(A26,""pt"",""en"")"),"Particle size distribution:")</f>
        <v>Particle size distribution:</v>
      </c>
      <c r="D26" s="86" t="str">
        <f>IFERROR(__xludf.DUMMYFUNCTION("GOOGLETRANSLATE(B26,""pt"",""en"")"),"#VALUE!")</f>
        <v>#VALUE!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5" t="s">
        <v>231</v>
      </c>
      <c r="B27" s="89"/>
      <c r="C27" s="84" t="str">
        <f>IFERROR(__xludf.DUMMYFUNCTION("GOOGLETRANSLATE(A27,""pt"",""en"")"),"Apparent density:")</f>
        <v>Apparent density:</v>
      </c>
      <c r="D27" s="86" t="str">
        <f>IFERROR(__xludf.DUMMYFUNCTION("GOOGLETRANSLATE(B27,""pt"",""en"")"),"#VALUE!")</f>
        <v>#VALUE!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5" t="s">
        <v>232</v>
      </c>
      <c r="B28" s="89"/>
      <c r="C28" s="84" t="str">
        <f>IFERROR(__xludf.DUMMYFUNCTION("GOOGLETRANSLATE(A28,""pt"",""en"")"),"Fluidity:")</f>
        <v>Fluidity:</v>
      </c>
      <c r="D28" s="86" t="str">
        <f>IFERROR(__xludf.DUMMYFUNCTION("GOOGLETRANSLATE(B28,""pt"",""en"")"),"#VALUE!")</f>
        <v>#VALUE!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5" t="s">
        <v>233</v>
      </c>
      <c r="B29" s="89"/>
      <c r="C29" s="84" t="str">
        <f>IFERROR(__xludf.DUMMYFUNCTION("GOOGLETRANSLATE(A29,""pt"",""en"")"),"Inert process gas (Composition):")</f>
        <v>Inert process gas (Composition):</v>
      </c>
      <c r="D29" s="86" t="str">
        <f>IFERROR(__xludf.DUMMYFUNCTION("GOOGLETRANSLATE(B29,""pt"",""en"")"),"#VALUE!")</f>
        <v>#VALUE!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4" t="s">
        <v>191</v>
      </c>
      <c r="B30" s="89"/>
      <c r="C30" s="84" t="str">
        <f>IFERROR(__xludf.DUMMYFUNCTION("GOOGLETRANSLATE(A30,""pt"",""en"")"),"Material Certificate (Lot):")</f>
        <v>Material Certificate (Lot):</v>
      </c>
      <c r="D30" s="86" t="str">
        <f>IFERROR(__xludf.DUMMYFUNCTION("GOOGLETRANSLATE(B30,""pt"",""en"")"),"#VALUE!")</f>
        <v>#VALUE!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5" t="s">
        <v>198</v>
      </c>
      <c r="B31" s="89"/>
      <c r="C31" s="84" t="str">
        <f>IFERROR(__xludf.DUMMYFUNCTION("GOOGLETRANSLATE(A31,""pt"",""en"")"),"Thermal post-processing:")</f>
        <v>Thermal post-processing:</v>
      </c>
      <c r="D31" s="86" t="str">
        <f>IFERROR(__xludf.DUMMYFUNCTION("GOOGLETRANSLATE(B31,""pt"",""en"")"),"#VALUE!")</f>
        <v>#VALUE!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88" t="s">
        <v>234</v>
      </c>
      <c r="B32" s="89"/>
      <c r="C32" s="88" t="str">
        <f>IFERROR(__xludf.DUMMYFUNCTION("GOOGLETRANSLATE(A32,""pt"",""en"")"),"3. Post-processing")</f>
        <v>3. Post-processing</v>
      </c>
      <c r="D32" s="86" t="str">
        <f>IFERROR(__xludf.DUMMYFUNCTION("GOOGLETRANSLATE(B32,""pt"",""en"")"),"#VALUE!")</f>
        <v>#VALUE!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4" t="s">
        <v>198</v>
      </c>
      <c r="B33" s="89"/>
      <c r="C33" s="84" t="str">
        <f>IFERROR(__xludf.DUMMYFUNCTION("GOOGLETRANSLATE(A33,""pt"",""en"")"),"Thermal post-processing:")</f>
        <v>Thermal post-processing:</v>
      </c>
      <c r="D33" s="86" t="str">
        <f>IFERROR(__xludf.DUMMYFUNCTION("GOOGLETRANSLATE(B33,""pt"",""en"")"),"#VALUE!")</f>
        <v>#VALUE!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88" t="s">
        <v>235</v>
      </c>
      <c r="B34" s="89"/>
      <c r="C34" s="88" t="str">
        <f>IFERROR(__xludf.DUMMYFUNCTION("GOOGLETRANSLATE(A34,""pt"",""en"")"),"4. Process parameters")</f>
        <v>4. Process parameters</v>
      </c>
      <c r="D34" s="86" t="s">
        <v>200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5" t="s">
        <v>236</v>
      </c>
      <c r="B35" s="89"/>
      <c r="C35" s="84" t="str">
        <f>IFERROR(__xludf.DUMMYFUNCTION("GOOGLETRANSLATE(A35,""pt"",""en"")"),"Parameter set:")</f>
        <v>Parameter set:</v>
      </c>
      <c r="D35" s="86" t="str">
        <f>IFERROR(__xludf.DUMMYFUNCTION("GOOGLETRANSLATE(B35,""pt"",""en"")"),"#VALUE!")</f>
        <v>#VALUE!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1"/>
    </row>
    <row r="37" ht="12.75" customHeight="1">
      <c r="A37" s="39" t="s">
        <v>220</v>
      </c>
      <c r="B37" s="39" t="s">
        <v>8</v>
      </c>
      <c r="C37" s="39" t="s">
        <v>46</v>
      </c>
      <c r="D37" s="39" t="s">
        <v>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hidden="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3">
    <mergeCell ref="B2:C2"/>
    <mergeCell ref="A3:D3"/>
    <mergeCell ref="A36:Z36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88"/>
    <col customWidth="1" min="2" max="2" width="41.75"/>
    <col customWidth="1" min="3" max="3" width="59.0"/>
    <col customWidth="1" min="4" max="4" width="37.13"/>
    <col customWidth="1" hidden="1" min="5" max="26" width="8.63"/>
  </cols>
  <sheetData>
    <row r="1" ht="6.75" customHeight="1">
      <c r="A1" s="13"/>
      <c r="B1" s="14"/>
      <c r="C1" s="14"/>
      <c r="D1" s="13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52.5" customHeight="1">
      <c r="A2" s="16"/>
      <c r="B2" s="17" t="s">
        <v>237</v>
      </c>
      <c r="C2" s="18"/>
      <c r="D2" s="19" t="s">
        <v>238</v>
      </c>
    </row>
    <row r="3" ht="12.75" customHeight="1">
      <c r="A3" s="63" t="s">
        <v>1</v>
      </c>
      <c r="D3" s="80"/>
    </row>
    <row r="4" ht="26.25" customHeight="1">
      <c r="A4" s="25" t="s">
        <v>239</v>
      </c>
      <c r="B4" s="26" t="s">
        <v>3</v>
      </c>
      <c r="C4" s="25" t="s">
        <v>240</v>
      </c>
      <c r="D4" s="26" t="s">
        <v>5</v>
      </c>
    </row>
    <row r="5" ht="12.75" customHeight="1">
      <c r="A5" s="88" t="s">
        <v>241</v>
      </c>
      <c r="B5" s="79"/>
      <c r="C5" s="88" t="str">
        <f>IFERROR(__xludf.DUMMYFUNCTION("GOOGLETRANSLATE(A5,""pt"",""en"")"),"1. Document Identification")</f>
        <v>1. Document Identification</v>
      </c>
      <c r="D5" s="79"/>
    </row>
    <row r="6" ht="12.75" customHeight="1">
      <c r="A6" s="94" t="s">
        <v>16</v>
      </c>
      <c r="B6" s="79"/>
      <c r="C6" s="94" t="str">
        <f>IFERROR(__xludf.DUMMYFUNCTION("GOOGLETRANSLATE(A6,""pt"",""en"")"),"Identification number:")</f>
        <v>Identification number:</v>
      </c>
      <c r="D6" s="79"/>
    </row>
    <row r="7" ht="12.75" customHeight="1">
      <c r="A7" s="95" t="s">
        <v>242</v>
      </c>
      <c r="B7" s="79"/>
      <c r="C7" s="94" t="str">
        <f>IFERROR(__xludf.DUMMYFUNCTION("GOOGLETRANSLATE(A7,""pt"",""en"")"),"Qualification date:")</f>
        <v>Qualification date:</v>
      </c>
      <c r="D7" s="79"/>
    </row>
    <row r="8" ht="12.75" customHeight="1">
      <c r="A8" s="95" t="s">
        <v>243</v>
      </c>
      <c r="B8" s="79"/>
      <c r="C8" s="94" t="str">
        <f>IFERROR(__xludf.DUMMYFUNCTION("GOOGLETRANSLATE(A8,""pt"",""en"")"),"Manufacturer / Company:")</f>
        <v>Manufacturer / Company:</v>
      </c>
      <c r="D8" s="79"/>
    </row>
    <row r="9" ht="12.75" customHeight="1">
      <c r="A9" s="95" t="s">
        <v>244</v>
      </c>
      <c r="B9" s="79"/>
      <c r="C9" s="94" t="str">
        <f>IFERROR(__xludf.DUMMYFUNCTION("GOOGLETRANSLATE(A9,""pt"",""en"")"),"Applicable manufacturing standards:")</f>
        <v>Applicable manufacturing standards:</v>
      </c>
      <c r="D9" s="79"/>
    </row>
    <row r="10" ht="12.75" customHeight="1">
      <c r="A10" s="95" t="s">
        <v>245</v>
      </c>
      <c r="B10" s="79"/>
      <c r="C10" s="94" t="str">
        <f>IFERROR(__xludf.DUMMYFUNCTION("GOOGLETRANSLATE(A10,""pt"",""en"")"),"Category AM (AMC):")</f>
        <v>Category AM (AMC):</v>
      </c>
      <c r="D10" s="79"/>
    </row>
    <row r="11">
      <c r="A11" s="88" t="s">
        <v>246</v>
      </c>
      <c r="B11" s="79"/>
      <c r="C11" s="88" t="str">
        <f>IFERROR(__xludf.DUMMYFUNCTION("GOOGLETRANSLATE(A11,""pt"",""en"")"),"2. Part Description")</f>
        <v>2. Part Description</v>
      </c>
      <c r="D11" s="79"/>
    </row>
    <row r="12" ht="12.75" customHeight="1">
      <c r="A12" s="95" t="s">
        <v>247</v>
      </c>
      <c r="B12" s="79"/>
      <c r="C12" s="94" t="str">
        <f>IFERROR(__xludf.DUMMYFUNCTION("GOOGLETRANSLATE(A12,""pt"",""en"")"),"Description of the item:")</f>
        <v>Description of the item:</v>
      </c>
      <c r="D12" s="79"/>
    </row>
    <row r="13" ht="12.75" customHeight="1">
      <c r="A13" s="94" t="s">
        <v>248</v>
      </c>
      <c r="B13" s="97"/>
      <c r="C13" s="94" t="str">
        <f>IFERROR(__xludf.DUMMYFUNCTION("GOOGLETRANSLATE(A13,""pt"",""en"")"),"3D model ID of the part")</f>
        <v>3D model ID of the part</v>
      </c>
      <c r="D13" s="97"/>
    </row>
    <row r="14" ht="12.75" customHeight="1">
      <c r="A14" s="94" t="s">
        <v>249</v>
      </c>
      <c r="B14" s="79"/>
      <c r="C14" s="94" t="str">
        <f>IFERROR(__xludf.DUMMYFUNCTION("GOOGLETRANSLATE(A14,""pt"",""en"")"),"MA Process")</f>
        <v>MA Process</v>
      </c>
      <c r="D14" s="79"/>
    </row>
    <row r="15" ht="12.75" customHeight="1">
      <c r="A15" s="95" t="s">
        <v>250</v>
      </c>
      <c r="B15" s="79"/>
      <c r="C15" s="94" t="str">
        <f>IFERROR(__xludf.DUMMYFUNCTION("GOOGLETRANSLATE(A15,""pt"",""en"")"),"Reference to the Supporting BPQR:")</f>
        <v>Reference to the Supporting BPQR:</v>
      </c>
      <c r="D15" s="79"/>
    </row>
    <row r="16" ht="12.75" customHeight="1">
      <c r="A16" s="95" t="s">
        <v>251</v>
      </c>
      <c r="B16" s="79"/>
      <c r="C16" s="94" t="str">
        <f>IFERROR(__xludf.DUMMYFUNCTION("GOOGLETRANSLATE(A16,""pt"",""en"")"),"Material:")</f>
        <v>Material:</v>
      </c>
      <c r="D16" s="79"/>
    </row>
    <row r="17" ht="12.75" customHeight="1">
      <c r="A17" s="95" t="s">
        <v>252</v>
      </c>
      <c r="B17" s="79"/>
      <c r="C17" s="94" t="str">
        <f>IFERROR(__xludf.DUMMYFUNCTION("GOOGLETRANSLATE(A17,""pt"",""en"")"),"Powder state:")</f>
        <v>Powder state:</v>
      </c>
      <c r="D17" s="79"/>
    </row>
    <row r="18" ht="12.75" customHeight="1">
      <c r="A18" s="95" t="s">
        <v>253</v>
      </c>
      <c r="B18" s="79"/>
      <c r="C18" s="94" t="str">
        <f>IFERROR(__xludf.DUMMYFUNCTION("GOOGLETRANSLATE(A18,""pt"",""en"")"),"Feedstock Certificate No.:")</f>
        <v>Feedstock Certificate No.:</v>
      </c>
      <c r="D18" s="79"/>
    </row>
    <row r="19" ht="12.75" customHeight="1">
      <c r="A19" s="98" t="s">
        <v>254</v>
      </c>
      <c r="B19" s="79"/>
      <c r="C19" s="88" t="str">
        <f>IFERROR(__xludf.DUMMYFUNCTION("GOOGLETRANSLATE(A19,""pt"",""en"")"),"3. Hardware and software")</f>
        <v>3. Hardware and software</v>
      </c>
      <c r="D19" s="79"/>
    </row>
    <row r="20" ht="12.75" customHeight="1">
      <c r="A20" s="92" t="s">
        <v>180</v>
      </c>
      <c r="B20" s="92"/>
      <c r="C20" s="92" t="str">
        <f>IFERROR(__xludf.DUMMYFUNCTION("GOOGLETRANSLATE(A20,""pt"",""en"")"),"MA Technology:")</f>
        <v>MA Technology: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2.75" customHeight="1">
      <c r="A21" s="92" t="s">
        <v>181</v>
      </c>
      <c r="B21" s="92"/>
      <c r="C21" s="92" t="str">
        <f>IFERROR(__xludf.DUMMYFUNCTION("GOOGLETRANSLATE(A21,""pt"",""en"")"),"MA equipment:")</f>
        <v>MA equipment: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2.75" customHeight="1">
      <c r="A22" s="92" t="s">
        <v>182</v>
      </c>
      <c r="B22" s="92"/>
      <c r="C22" s="92" t="str">
        <f>IFERROR(__xludf.DUMMYFUNCTION("GOOGLETRANSLATE(A22,""pt"",""en"")"),"Power Source:")</f>
        <v>Power Source: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2.75" customHeight="1">
      <c r="A23" s="92" t="s">
        <v>183</v>
      </c>
      <c r="B23" s="92"/>
      <c r="C23" s="92" t="str">
        <f>IFERROR(__xludf.DUMMYFUNCTION("GOOGLETRANSLATE(A23,""pt"",""en"")"),"Laser (Details):")</f>
        <v>Laser (Details):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2.75" customHeight="1">
      <c r="A24" s="92" t="s">
        <v>184</v>
      </c>
      <c r="B24" s="92"/>
      <c r="C24" s="92" t="str">
        <f>IFERROR(__xludf.DUMMYFUNCTION("GOOGLETRANSLATE(A24,""pt"",""en"")"),"Positioner:")</f>
        <v>Positioner:</v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2.75" customHeight="1">
      <c r="A25" s="92" t="s">
        <v>185</v>
      </c>
      <c r="B25" s="92"/>
      <c r="C25" s="92" t="str">
        <f>IFERROR(__xludf.DUMMYFUNCTION("GOOGLETRANSLATE(A25,""pt"",""en"")"),"Feeding Mechanism:")</f>
        <v>Feeding Mechanism:</v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2.75" customHeight="1">
      <c r="A26" s="92" t="s">
        <v>186</v>
      </c>
      <c r="B26" s="92"/>
      <c r="C26" s="92" t="str">
        <f>IFERROR(__xludf.DUMMYFUNCTION("GOOGLETRANSLATE(A26,""pt"",""en"")"),"Control System:")</f>
        <v>Control System:</v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2.75" customHeight="1">
      <c r="A27" s="92" t="s">
        <v>187</v>
      </c>
      <c r="B27" s="92"/>
      <c r="C27" s="92" t="str">
        <f>IFERROR(__xludf.DUMMYFUNCTION("GOOGLETRANSLATE(A27,""pt"",""en"")"),"Software and Firmware:")</f>
        <v>Software and Firmware: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2.75" customHeight="1">
      <c r="A28" s="98" t="s">
        <v>255</v>
      </c>
      <c r="B28" s="79"/>
      <c r="C28" s="88" t="str">
        <f>IFERROR(__xludf.DUMMYFUNCTION("GOOGLETRANSLATE(A28,""pt"",""en"")"),"4. Materials and consumables")</f>
        <v>4. Materials and consumables</v>
      </c>
      <c r="D28" s="79"/>
    </row>
    <row r="29" ht="12.75" customHeight="1">
      <c r="A29" s="94" t="s">
        <v>189</v>
      </c>
      <c r="B29" s="79"/>
      <c r="C29" s="94" t="str">
        <f>IFERROR(__xludf.DUMMYFUNCTION("GOOGLETRANSLATE(A29,""pt"",""en"")"),"Feeding material (Alloy):")</f>
        <v>Feeding material (Alloy):</v>
      </c>
      <c r="D29" s="79"/>
    </row>
    <row r="30" ht="12.75" customHeight="1">
      <c r="A30" s="94" t="s">
        <v>190</v>
      </c>
      <c r="B30" s="79"/>
      <c r="C30" s="94" t="str">
        <f>IFERROR(__xludf.DUMMYFUNCTION("GOOGLETRANSLATE(A30,""pt"",""en"")"),"Feeding material (Form):")</f>
        <v>Feeding material (Form):</v>
      </c>
      <c r="D30" s="79"/>
    </row>
    <row r="31" ht="12.75" customHeight="1">
      <c r="A31" s="94" t="s">
        <v>191</v>
      </c>
      <c r="B31" s="79"/>
      <c r="C31" s="94" t="str">
        <f>IFERROR(__xludf.DUMMYFUNCTION("GOOGLETRANSLATE(A31,""pt"",""en"")"),"Material Certificate (Lot):")</f>
        <v>Material Certificate (Lot):</v>
      </c>
      <c r="D31" s="79"/>
    </row>
    <row r="32" ht="12.75" customHeight="1">
      <c r="A32" s="94" t="s">
        <v>192</v>
      </c>
      <c r="B32" s="79"/>
      <c r="C32" s="94" t="str">
        <f>IFERROR(__xludf.DUMMYFUNCTION("GOOGLETRANSLATE(A32,""pt"",""en"")"),"Powder characteristics:")</f>
        <v>Powder characteristics:</v>
      </c>
      <c r="D32" s="79"/>
    </row>
    <row r="33" ht="12.75" customHeight="1">
      <c r="A33" s="94" t="s">
        <v>193</v>
      </c>
      <c r="B33" s="79"/>
      <c r="C33" s="94" t="str">
        <f>IFERROR(__xludf.DUMMYFUNCTION("GOOGLETRANSLATE(A33,""pt"",""en"")"),"Wire diameter:")</f>
        <v>Wire diameter:</v>
      </c>
      <c r="D33" s="79"/>
    </row>
    <row r="34" ht="12.75" customHeight="1">
      <c r="A34" s="94" t="s">
        <v>194</v>
      </c>
      <c r="B34" s="79"/>
      <c r="C34" s="94" t="str">
        <f>IFERROR(__xludf.DUMMYFUNCTION("GOOGLETRANSLATE(A34,""pt"",""en"")"),"Substrate (Material / Batch):")</f>
        <v>Substrate (Material / Batch):</v>
      </c>
      <c r="D34" s="79"/>
    </row>
    <row r="35" ht="12.75" customHeight="1">
      <c r="A35" s="94" t="s">
        <v>195</v>
      </c>
      <c r="B35" s="79"/>
      <c r="C35" s="94" t="str">
        <f>IFERROR(__xludf.DUMMYFUNCTION("GOOGLETRANSLATE(A35,""pt"",""en"")"),"Shielding gas (Composition):")</f>
        <v>Shielding gas (Composition):</v>
      </c>
      <c r="D35" s="79"/>
    </row>
    <row r="36" ht="12.75" customHeight="1">
      <c r="A36" s="94" t="s">
        <v>196</v>
      </c>
      <c r="B36" s="79"/>
      <c r="C36" s="94" t="str">
        <f>IFERROR(__xludf.DUMMYFUNCTION("GOOGLETRANSLATE(A36,""pt"",""en"")"),"Transport gas (Composition):")</f>
        <v>Transport gas (Composition):</v>
      </c>
      <c r="D36" s="79"/>
    </row>
    <row r="37" ht="12.75" customHeight="1">
      <c r="A37" s="98" t="s">
        <v>256</v>
      </c>
      <c r="B37" s="79"/>
      <c r="C37" s="88" t="str">
        <f>IFERROR(__xludf.DUMMYFUNCTION("GOOGLETRANSLATE(A37,""pt"",""en"")"),"5. Post-processing")</f>
        <v>5. Post-processing</v>
      </c>
      <c r="D37" s="79"/>
    </row>
    <row r="38" ht="12.75" customHeight="1">
      <c r="A38" s="94" t="s">
        <v>198</v>
      </c>
      <c r="B38" s="79"/>
      <c r="C38" s="94" t="str">
        <f>IFERROR(__xludf.DUMMYFUNCTION("GOOGLETRANSLATE(A38,""pt"",""en"")"),"Thermal post-processing:")</f>
        <v>Thermal post-processing:</v>
      </c>
      <c r="D38" s="79"/>
    </row>
    <row r="39" ht="12.75" customHeight="1">
      <c r="A39" s="98" t="s">
        <v>257</v>
      </c>
      <c r="B39" s="79"/>
      <c r="C39" s="88" t="str">
        <f>IFERROR(__xludf.DUMMYFUNCTION("GOOGLETRANSLATE(A39,""pt"",""en"")"),"6. Process parameters")</f>
        <v>6. Process parameters</v>
      </c>
      <c r="D39" s="79"/>
    </row>
    <row r="40" ht="12.75" customHeight="1">
      <c r="A40" s="94" t="s">
        <v>201</v>
      </c>
      <c r="B40" s="79"/>
      <c r="C40" s="94" t="str">
        <f>IFERROR(__xludf.DUMMYFUNCTION("GOOGLETRANSLATE(A40,""pt"",""en"")"),"Preheating:")</f>
        <v>Preheating:</v>
      </c>
      <c r="D40" s="79"/>
    </row>
    <row r="41" ht="12.75" customHeight="1">
      <c r="A41" s="99" t="s">
        <v>202</v>
      </c>
      <c r="B41" s="99"/>
      <c r="C41" s="99" t="str">
        <f>IFERROR(__xludf.DUMMYFUNCTION("GOOGLETRANSLATE(A41,""pt"",""en"")"),"Temperature between passes:")</f>
        <v>Temperature between passes:</v>
      </c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2.75" customHeight="1">
      <c r="A42" s="99" t="s">
        <v>203</v>
      </c>
      <c r="B42" s="99"/>
      <c r="C42" s="99" t="str">
        <f>IFERROR(__xludf.DUMMYFUNCTION("GOOGLETRANSLATE(A42,""pt"",""en"")"),"Cleaning method between passes:")</f>
        <v>Cleaning method between passes:</v>
      </c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2.75" customHeight="1">
      <c r="A43" s="94" t="s">
        <v>204</v>
      </c>
      <c r="B43" s="79"/>
      <c r="C43" s="94" t="str">
        <f>IFERROR(__xludf.DUMMYFUNCTION("GOOGLETRANSLATE(A43,""pt"",""en"")"),"Forced cooling:")</f>
        <v>Forced cooling:</v>
      </c>
      <c r="D43" s="79"/>
    </row>
    <row r="44" ht="12.75" customHeight="1">
      <c r="A44" s="94" t="s">
        <v>205</v>
      </c>
      <c r="B44" s="79"/>
      <c r="C44" s="94" t="str">
        <f>IFERROR(__xludf.DUMMYFUNCTION("GOOGLETRANSLATE(A44,""pt"",""en"")"),"Construction thickness:")</f>
        <v>Construction thickness:</v>
      </c>
      <c r="D44" s="79"/>
    </row>
    <row r="45" ht="12.75" customHeight="1">
      <c r="A45" s="94" t="s">
        <v>206</v>
      </c>
      <c r="B45" s="79"/>
      <c r="C45" s="94" t="str">
        <f>IFERROR(__xludf.DUMMYFUNCTION("GOOGLETRANSLATE(A45,""pt"",""en"")"),"Deposition strategy:")</f>
        <v>Deposition strategy:</v>
      </c>
      <c r="D45" s="79"/>
    </row>
    <row r="46" ht="12.75" customHeight="1">
      <c r="A46" s="94" t="s">
        <v>207</v>
      </c>
      <c r="B46" s="79"/>
      <c r="C46" s="94" t="str">
        <f>IFERROR(__xludf.DUMMYFUNCTION("GOOGLETRANSLATE(A46,""pt"",""en"")"),"Degree of overlap between adjacent strands:")</f>
        <v>Degree of overlap between adjacent strands:</v>
      </c>
      <c r="D46" s="79"/>
    </row>
    <row r="47" ht="12.75" customHeight="1">
      <c r="A47" s="99" t="s">
        <v>208</v>
      </c>
      <c r="B47" s="99"/>
      <c r="C47" s="99" t="str">
        <f>IFERROR(__xludf.DUMMYFUNCTION("GOOGLETRANSLATE(A47,""pt"",""en"")"),"Construction position (according to ISO 6947 or similar):")</f>
        <v>Construction position (according to ISO 6947 or similar):</v>
      </c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</row>
    <row r="48" ht="12.75" customHeight="1">
      <c r="A48" s="94" t="s">
        <v>209</v>
      </c>
      <c r="B48" s="79"/>
      <c r="C48" s="94" t="str">
        <f>IFERROR(__xludf.DUMMYFUNCTION("GOOGLETRANSLATE(A48,""pt"",""en"")"),"Powder or wire feed rate:")</f>
        <v>Powder or wire feed rate:</v>
      </c>
      <c r="D48" s="79"/>
    </row>
    <row r="49" ht="12.75" customHeight="1">
      <c r="A49" s="94" t="s">
        <v>210</v>
      </c>
      <c r="B49" s="79"/>
      <c r="C49" s="94" t="str">
        <f>IFERROR(__xludf.DUMMYFUNCTION("GOOGLETRANSLATE(A49,""pt"",""en"")"),"Layer height:")</f>
        <v>Layer height:</v>
      </c>
      <c r="D49" s="79"/>
    </row>
    <row r="50" ht="12.75" customHeight="1">
      <c r="A50" s="94" t="s">
        <v>211</v>
      </c>
      <c r="B50" s="79"/>
      <c r="C50" s="94" t="str">
        <f>IFERROR(__xludf.DUMMYFUNCTION("GOOGLETRANSLATE(A50,""pt"",""en"")"),"Distance between the nozzle and the substrate (initial layer):")</f>
        <v>Distance between the nozzle and the substrate (initial layer):</v>
      </c>
      <c r="D50" s="79"/>
    </row>
    <row r="51" ht="12.75" customHeight="1">
      <c r="A51" s="94" t="s">
        <v>212</v>
      </c>
      <c r="B51" s="79"/>
      <c r="C51" s="94" t="str">
        <f>IFERROR(__xludf.DUMMYFUNCTION("GOOGLETRANSLATE(A51,""pt"",""en"")"),"Distance between the nozzle and the deposited material:")</f>
        <v>Distance between the nozzle and the deposited material:</v>
      </c>
      <c r="D51" s="79"/>
    </row>
    <row r="52" ht="12.75" customHeight="1">
      <c r="A52" s="94" t="s">
        <v>213</v>
      </c>
      <c r="B52" s="79"/>
      <c r="C52" s="94" t="str">
        <f>IFERROR(__xludf.DUMMYFUNCTION("GOOGLETRANSLATE(A52,""pt"",""en"")"),"Energy density:")</f>
        <v>Energy density:</v>
      </c>
      <c r="D52" s="79"/>
    </row>
    <row r="53" ht="12.75" customHeight="1">
      <c r="A53" s="94" t="s">
        <v>214</v>
      </c>
      <c r="B53" s="79"/>
      <c r="C53" s="94" t="str">
        <f>IFERROR(__xludf.DUMMYFUNCTION("GOOGLETRANSLATE(A53,""pt"",""en"")"),"Pulse characteristics:")</f>
        <v>Pulse characteristics:</v>
      </c>
      <c r="D53" s="79"/>
    </row>
    <row r="54" ht="12.75" customHeight="1">
      <c r="A54" s="94" t="s">
        <v>215</v>
      </c>
      <c r="B54" s="79"/>
      <c r="C54" s="94" t="str">
        <f>IFERROR(__xludf.DUMMYFUNCTION("GOOGLETRANSLATE(A54,""pt"",""en"")"),"Laser spot size:")</f>
        <v>Laser spot size:</v>
      </c>
      <c r="D54" s="79"/>
    </row>
    <row r="55" ht="12.75" customHeight="1">
      <c r="A55" s="94" t="s">
        <v>216</v>
      </c>
      <c r="B55" s="79"/>
      <c r="C55" s="94" t="str">
        <f>IFERROR(__xludf.DUMMYFUNCTION("GOOGLETRANSLATE(A55,""pt"",""en"")"),"Straight or braided cord:")</f>
        <v>Straight or braided cord:</v>
      </c>
      <c r="D55" s="79"/>
    </row>
    <row r="56" ht="12.75" customHeight="1">
      <c r="A56" s="94" t="s">
        <v>217</v>
      </c>
      <c r="B56" s="79"/>
      <c r="C56" s="94" t="str">
        <f>IFERROR(__xludf.DUMMYFUNCTION("GOOGLETRANSLATE(A56,""pt"",""en"")"),"Shielding gas flow rate:")</f>
        <v>Shielding gas flow rate:</v>
      </c>
      <c r="D56" s="79"/>
    </row>
    <row r="57" ht="12.75" customHeight="1">
      <c r="A57" s="99" t="s">
        <v>218</v>
      </c>
      <c r="B57" s="99"/>
      <c r="C57" s="99" t="str">
        <f>IFERROR(__xludf.DUMMYFUNCTION("GOOGLETRANSLATE(A57,""pt"",""en"")"),"Dimensions of the protective gas nozzle, if applicable:")</f>
        <v>Dimensions of the protective gas nozzle, if applicable:</v>
      </c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</row>
    <row r="58" ht="12.75" customHeight="1">
      <c r="A58" s="99" t="s">
        <v>219</v>
      </c>
      <c r="B58" s="99"/>
      <c r="C58" s="99" t="str">
        <f>IFERROR(__xludf.DUMMYFUNCTION("GOOGLETRANSLATE(A58,""pt"",""en"")"),"Atmospheric oxygen content, if applicable:")</f>
        <v>Atmospheric oxygen content, if applicable:</v>
      </c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</row>
    <row r="59" ht="12.75" customHeight="1">
      <c r="A59" s="98" t="s">
        <v>258</v>
      </c>
      <c r="B59" s="79"/>
      <c r="C59" s="98" t="str">
        <f>IFERROR(__xludf.DUMMYFUNCTION("GOOGLETRANSLATE(A59,""pt"",""en"")"),"7. DETAILS OF THE QUALIFICATION CONSTRUCTION")</f>
        <v>7. DETAILS OF THE QUALIFICATION CONSTRUCTION</v>
      </c>
      <c r="D59" s="79"/>
    </row>
    <row r="60" ht="12.75" customHeight="1">
      <c r="A60" s="94" t="s">
        <v>259</v>
      </c>
      <c r="B60" s="79"/>
      <c r="C60" s="94" t="str">
        <f>IFERROR(__xludf.DUMMYFUNCTION("GOOGLETRANSLATE(A60,""pt"",""en"")"),"Description (Orientation, Supports, Nesting):")</f>
        <v>Description (Orientation, Supports, Nesting):</v>
      </c>
      <c r="D60" s="79"/>
    </row>
    <row r="61" ht="12.75" customHeight="1">
      <c r="A61" s="94" t="s">
        <v>260</v>
      </c>
      <c r="B61" s="79"/>
      <c r="C61" s="94" t="str">
        <f>IFERROR(__xludf.DUMMYFUNCTION("GOOGLETRANSLATE(A61,""pt"",""en"")"),"Image of the Platform Layout:")</f>
        <v>Image of the Platform Layout:</v>
      </c>
      <c r="D61" s="79"/>
    </row>
    <row r="62" ht="12.75" customHeight="1">
      <c r="A62" s="98" t="s">
        <v>261</v>
      </c>
      <c r="B62" s="79"/>
      <c r="C62" s="98" t="str">
        <f>IFERROR(__xludf.DUMMYFUNCTION("GOOGLETRANSLATE(A62,""pt"",""en"")"),"8. TEST RESULTS (NDT) (AMC 2 and 3)")</f>
        <v>8. TEST RESULTS (NDT) (AMC 2 and 3)</v>
      </c>
      <c r="D62" s="79"/>
    </row>
    <row r="63" ht="12.75" customHeight="1">
      <c r="A63" s="95" t="s">
        <v>262</v>
      </c>
      <c r="B63" s="79"/>
      <c r="C63" s="94" t="str">
        <f>IFERROR(__xludf.DUMMYFUNCTION("GOOGLETRANSLATE(A63,""pt"",""en"")"),"Visual Inspection (100% of the part):")</f>
        <v>Visual Inspection (100% of the part):</v>
      </c>
      <c r="D63" s="79"/>
    </row>
    <row r="64" ht="12.75" customHeight="1">
      <c r="A64" s="95" t="s">
        <v>263</v>
      </c>
      <c r="B64" s="79"/>
      <c r="C64" s="94" t="str">
        <f>IFERROR(__xludf.DUMMYFUNCTION("GOOGLETRANSLATE(A64,""pt"",""en"")"),"Dimensional Verification (As per requirements):")</f>
        <v>Dimensional Verification (As per requirements):</v>
      </c>
      <c r="D64" s="79"/>
    </row>
    <row r="65" ht="12.75" customHeight="1">
      <c r="A65" s="95" t="s">
        <v>264</v>
      </c>
      <c r="B65" s="79"/>
      <c r="C65" s="94" t="str">
        <f>IFERROR(__xludf.DUMMYFUNCTION("GOOGLETRANSLATE(A65,""pt"",""en"")"),"Surface Tests (NDT) (100% of the piece):")</f>
        <v>Surface Tests (NDT) (100% of the piece):</v>
      </c>
      <c r="D65" s="79"/>
    </row>
    <row r="66" ht="12.75" customHeight="1">
      <c r="A66" s="95" t="s">
        <v>265</v>
      </c>
      <c r="B66" s="79"/>
      <c r="C66" s="94" t="str">
        <f>IFERROR(__xludf.DUMMYFUNCTION("GOOGLETRANSLATE(A66,""pt"",""en"")"),"Volumetric Testing (NDT) (100% of the piece):")</f>
        <v>Volumetric Testing (NDT) (100% of the piece):</v>
      </c>
      <c r="D66" s="79"/>
    </row>
    <row r="67" ht="12.75" customHeight="1">
      <c r="A67" s="98" t="s">
        <v>266</v>
      </c>
      <c r="B67" s="79"/>
      <c r="C67" s="98" t="str">
        <f>IFERROR(__xludf.DUMMYFUNCTION("GOOGLETRANSLATE(A67,""pt"",""en"")"),"9. TEST RESULTS (MEC/MET) (AMC 3)")</f>
        <v>9. TEST RESULTS (MEC/MET) (AMC 3)</v>
      </c>
      <c r="D67" s="79"/>
    </row>
    <row r="68" ht="12.75" customHeight="1">
      <c r="A68" s="95" t="s">
        <v>267</v>
      </c>
      <c r="B68" s="79"/>
      <c r="C68" s="94" t="str">
        <f>IFERROR(__xludf.DUMMYFUNCTION("GOOGLETRANSLATE(A68,""pt"",""en"")"),"Tensile test (of the ""critical sections""):")</f>
        <v>Tensile test (of the "critical sections"):</v>
      </c>
      <c r="D68" s="79"/>
    </row>
    <row r="69" ht="12.75" customHeight="1">
      <c r="A69" s="95" t="s">
        <v>268</v>
      </c>
      <c r="B69" s="79"/>
      <c r="C69" s="94" t="str">
        <f>IFERROR(__xludf.DUMMYFUNCTION("GOOGLETRANSLATE(A69,""pt"",""en"")"),"Hardness Measurements (of the ""critical sections""):")</f>
        <v>Hardness Measurements (of the "critical sections"):</v>
      </c>
      <c r="D69" s="79"/>
    </row>
    <row r="70" ht="12.75" customHeight="1">
      <c r="A70" s="95" t="s">
        <v>269</v>
      </c>
      <c r="B70" s="79"/>
      <c r="C70" s="94" t="str">
        <f>IFERROR(__xludf.DUMMYFUNCTION("GOOGLETRANSLATE(A70,""pt"",""en"")"),"Macro/Micro/Porosity Assessment (of ""thin, thick, and critical sections""):")</f>
        <v>Macro/Micro/Porosity Assessment (of "thin, thick, and critical sections"):</v>
      </c>
      <c r="D70" s="79"/>
    </row>
    <row r="71" ht="12.75" customHeight="1">
      <c r="A71" s="95" t="s">
        <v>270</v>
      </c>
      <c r="B71" s="79"/>
      <c r="C71" s="94" t="str">
        <f>IFERROR(__xludf.DUMMYFUNCTION("GOOGLETRANSLATE(A71,""pt"",""en"")"),"Production Tests (Production test specimens included):")</f>
        <v>Production Tests (Production test specimens included):</v>
      </c>
      <c r="D71" s="79"/>
    </row>
    <row r="72" ht="12.75" customHeight="1">
      <c r="A72" s="95" t="s">
        <v>271</v>
      </c>
      <c r="B72" s="79"/>
      <c r="C72" s="94" t="str">
        <f>IFERROR(__xludf.DUMMYFUNCTION("GOOGLETRANSLATE(A72,""pt"",""en"")"),"Thin-wall tensile test (if applicable):")</f>
        <v>Thin-wall tensile test (if applicable):</v>
      </c>
      <c r="D72" s="79"/>
    </row>
    <row r="73" ht="12.75" customHeight="1"/>
    <row r="74" ht="12.75" customHeight="1"/>
    <row r="75" ht="12.75" customHeight="1">
      <c r="A75" s="100" t="s">
        <v>272</v>
      </c>
      <c r="B75" s="101"/>
      <c r="C75" s="101"/>
      <c r="D75" s="102"/>
    </row>
    <row r="76" ht="12.75" customHeight="1">
      <c r="A76" s="103" t="s">
        <v>273</v>
      </c>
      <c r="B76" s="103" t="s">
        <v>274</v>
      </c>
      <c r="C76" s="103" t="s">
        <v>275</v>
      </c>
      <c r="D76" s="103" t="s">
        <v>276</v>
      </c>
    </row>
    <row r="77" ht="12.75" customHeight="1">
      <c r="A77" s="104" t="s">
        <v>277</v>
      </c>
      <c r="B77" s="105" t="s">
        <v>278</v>
      </c>
      <c r="C77" s="104" t="s">
        <v>279</v>
      </c>
      <c r="D77" s="106" t="s">
        <v>280</v>
      </c>
    </row>
    <row r="78" ht="12.75" customHeight="1">
      <c r="A78" s="104" t="s">
        <v>281</v>
      </c>
      <c r="B78" s="105" t="s">
        <v>282</v>
      </c>
      <c r="C78" s="104" t="s">
        <v>283</v>
      </c>
      <c r="D78" s="106" t="s">
        <v>284</v>
      </c>
    </row>
    <row r="79" ht="12.75" customHeight="1">
      <c r="A79" s="104" t="s">
        <v>285</v>
      </c>
      <c r="B79" s="105" t="s">
        <v>286</v>
      </c>
      <c r="C79" s="104" t="s">
        <v>287</v>
      </c>
      <c r="D79" s="106" t="s">
        <v>288</v>
      </c>
    </row>
    <row r="80" ht="12.75" customHeight="1"/>
    <row r="81" ht="12.75" customHeight="1"/>
    <row r="82" ht="12.75" customHeight="1">
      <c r="A82" s="100" t="s">
        <v>289</v>
      </c>
      <c r="B82" s="101"/>
      <c r="C82" s="101"/>
      <c r="D82" s="102"/>
    </row>
    <row r="83" ht="12.75" customHeight="1">
      <c r="A83" s="103" t="s">
        <v>290</v>
      </c>
      <c r="B83" s="103" t="s">
        <v>274</v>
      </c>
      <c r="C83" s="103" t="s">
        <v>275</v>
      </c>
      <c r="D83" s="103" t="s">
        <v>276</v>
      </c>
    </row>
    <row r="84" ht="12.75" customHeight="1">
      <c r="A84" s="104" t="s">
        <v>291</v>
      </c>
      <c r="B84" s="105" t="s">
        <v>292</v>
      </c>
      <c r="C84" s="104" t="s">
        <v>293</v>
      </c>
      <c r="D84" s="106"/>
    </row>
    <row r="85" ht="12.75" customHeight="1">
      <c r="A85" s="104" t="s">
        <v>294</v>
      </c>
      <c r="B85" s="105" t="s">
        <v>295</v>
      </c>
      <c r="C85" s="104" t="s">
        <v>296</v>
      </c>
      <c r="D85" s="106"/>
    </row>
    <row r="86" ht="12.75" customHeight="1"/>
    <row r="87" ht="12.75" customHeight="1"/>
    <row r="88" ht="12.75" customHeight="1">
      <c r="A88" s="100" t="s">
        <v>297</v>
      </c>
      <c r="B88" s="101"/>
      <c r="C88" s="101"/>
      <c r="D88" s="102"/>
    </row>
    <row r="89" ht="12.75" customHeight="1">
      <c r="A89" s="103" t="s">
        <v>298</v>
      </c>
      <c r="B89" s="103" t="s">
        <v>274</v>
      </c>
      <c r="C89" s="103" t="s">
        <v>275</v>
      </c>
      <c r="D89" s="103" t="s">
        <v>276</v>
      </c>
    </row>
    <row r="90" ht="12.75" customHeight="1">
      <c r="A90" s="104" t="s">
        <v>299</v>
      </c>
      <c r="B90" s="105" t="s">
        <v>300</v>
      </c>
      <c r="C90" s="104" t="s">
        <v>301</v>
      </c>
      <c r="D90" s="106"/>
    </row>
    <row r="91" ht="12.75" customHeight="1">
      <c r="A91" s="104" t="s">
        <v>302</v>
      </c>
      <c r="B91" s="105" t="s">
        <v>303</v>
      </c>
      <c r="C91" s="104" t="s">
        <v>301</v>
      </c>
      <c r="D91" s="106"/>
    </row>
    <row r="92" ht="12.75" customHeight="1"/>
    <row r="93" ht="12.75" customHeight="1"/>
    <row r="94">
      <c r="A94" s="39" t="s">
        <v>304</v>
      </c>
      <c r="B94" s="39" t="s">
        <v>8</v>
      </c>
      <c r="C94" s="39" t="s">
        <v>46</v>
      </c>
      <c r="D94" s="107" t="s">
        <v>47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</sheetData>
  <mergeCells count="6">
    <mergeCell ref="B2:C2"/>
    <mergeCell ref="A3:D3"/>
    <mergeCell ref="A75:D75"/>
    <mergeCell ref="A82:D82"/>
    <mergeCell ref="A88:D88"/>
    <mergeCell ref="A93:Z93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88"/>
    <col customWidth="1" min="2" max="2" width="41.75"/>
    <col customWidth="1" min="3" max="3" width="59.0"/>
    <col customWidth="1" min="4" max="4" width="37.13"/>
    <col customWidth="1" hidden="1" min="5" max="26" width="8.63"/>
  </cols>
  <sheetData>
    <row r="1" ht="6.75" customHeight="1">
      <c r="A1" s="13"/>
      <c r="B1" s="14"/>
      <c r="C1" s="14"/>
      <c r="D1" s="13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ht="52.5" customHeight="1">
      <c r="A2" s="16"/>
      <c r="B2" s="17" t="s">
        <v>237</v>
      </c>
      <c r="C2" s="18"/>
      <c r="D2" s="19" t="s">
        <v>238</v>
      </c>
    </row>
    <row r="3" ht="12.75" customHeight="1">
      <c r="A3" s="63" t="s">
        <v>1</v>
      </c>
      <c r="D3" s="80"/>
    </row>
    <row r="4" ht="26.25" customHeight="1">
      <c r="A4" s="25" t="s">
        <v>305</v>
      </c>
      <c r="B4" s="26" t="s">
        <v>3</v>
      </c>
      <c r="C4" s="25" t="s">
        <v>306</v>
      </c>
      <c r="D4" s="26" t="s">
        <v>5</v>
      </c>
    </row>
    <row r="5" ht="12.75" customHeight="1">
      <c r="A5" s="88" t="s">
        <v>241</v>
      </c>
      <c r="B5" s="79"/>
      <c r="C5" s="88" t="str">
        <f>IFERROR(__xludf.DUMMYFUNCTION("GOOGLETRANSLATE(A5,""pt"",""en"")"),"1. Document Identification")</f>
        <v>1. Document Identification</v>
      </c>
      <c r="D5" s="79"/>
    </row>
    <row r="6" ht="12.75" customHeight="1">
      <c r="A6" s="94" t="s">
        <v>16</v>
      </c>
      <c r="B6" s="79"/>
      <c r="C6" s="94" t="str">
        <f>IFERROR(__xludf.DUMMYFUNCTION("GOOGLETRANSLATE(A6,""pt"",""en"")"),"Identification number:")</f>
        <v>Identification number:</v>
      </c>
      <c r="D6" s="79"/>
    </row>
    <row r="7" ht="12.75" customHeight="1">
      <c r="A7" s="95" t="s">
        <v>242</v>
      </c>
      <c r="B7" s="79"/>
      <c r="C7" s="94" t="str">
        <f>IFERROR(__xludf.DUMMYFUNCTION("GOOGLETRANSLATE(A7,""pt"",""en"")"),"Qualification date:")</f>
        <v>Qualification date:</v>
      </c>
      <c r="D7" s="79"/>
    </row>
    <row r="8" ht="12.75" customHeight="1">
      <c r="A8" s="95" t="s">
        <v>243</v>
      </c>
      <c r="B8" s="79"/>
      <c r="C8" s="94" t="str">
        <f>IFERROR(__xludf.DUMMYFUNCTION("GOOGLETRANSLATE(A8,""pt"",""en"")"),"Manufacturer / Company:")</f>
        <v>Manufacturer / Company:</v>
      </c>
      <c r="D8" s="79"/>
    </row>
    <row r="9" ht="12.75" customHeight="1">
      <c r="A9" s="95" t="s">
        <v>244</v>
      </c>
      <c r="B9" s="79"/>
      <c r="C9" s="94" t="str">
        <f>IFERROR(__xludf.DUMMYFUNCTION("GOOGLETRANSLATE(A9,""pt"",""en"")"),"Applicable manufacturing standards:")</f>
        <v>Applicable manufacturing standards:</v>
      </c>
      <c r="D9" s="79"/>
    </row>
    <row r="10" ht="12.75" customHeight="1">
      <c r="A10" s="95" t="s">
        <v>245</v>
      </c>
      <c r="B10" s="79"/>
      <c r="C10" s="94" t="str">
        <f>IFERROR(__xludf.DUMMYFUNCTION("GOOGLETRANSLATE(A10,""pt"",""en"")"),"Category AM (AMC):")</f>
        <v>Category AM (AMC):</v>
      </c>
      <c r="D10" s="79"/>
    </row>
    <row r="11">
      <c r="A11" s="88" t="s">
        <v>246</v>
      </c>
      <c r="B11" s="79"/>
      <c r="C11" s="88" t="str">
        <f>IFERROR(__xludf.DUMMYFUNCTION("GOOGLETRANSLATE(A11,""pt"",""en"")"),"2. Part Description")</f>
        <v>2. Part Description</v>
      </c>
      <c r="D11" s="79"/>
    </row>
    <row r="12" ht="12.75" customHeight="1">
      <c r="A12" s="95" t="s">
        <v>247</v>
      </c>
      <c r="B12" s="79"/>
      <c r="C12" s="94" t="str">
        <f>IFERROR(__xludf.DUMMYFUNCTION("GOOGLETRANSLATE(A12,""pt"",""en"")"),"Description of the item:")</f>
        <v>Description of the item:</v>
      </c>
      <c r="D12" s="79"/>
    </row>
    <row r="13" ht="12.75" customHeight="1">
      <c r="A13" s="94" t="s">
        <v>248</v>
      </c>
      <c r="B13" s="97"/>
      <c r="C13" s="94" t="str">
        <f>IFERROR(__xludf.DUMMYFUNCTION("GOOGLETRANSLATE(A13,""pt"",""en"")"),"3D model ID of the part")</f>
        <v>3D model ID of the part</v>
      </c>
      <c r="D13" s="97"/>
    </row>
    <row r="14" ht="12.75" customHeight="1">
      <c r="A14" s="94" t="s">
        <v>249</v>
      </c>
      <c r="B14" s="79"/>
      <c r="C14" s="94" t="str">
        <f>IFERROR(__xludf.DUMMYFUNCTION("GOOGLETRANSLATE(A14,""pt"",""en"")"),"MA Process")</f>
        <v>MA Process</v>
      </c>
      <c r="D14" s="79"/>
    </row>
    <row r="15" ht="12.75" customHeight="1">
      <c r="A15" s="95" t="s">
        <v>250</v>
      </c>
      <c r="B15" s="79"/>
      <c r="C15" s="94" t="str">
        <f>IFERROR(__xludf.DUMMYFUNCTION("GOOGLETRANSLATE(A15,""pt"",""en"")"),"Reference to the Supporting BPQR:")</f>
        <v>Reference to the Supporting BPQR:</v>
      </c>
      <c r="D15" s="79"/>
    </row>
    <row r="16" ht="12.75" customHeight="1">
      <c r="A16" s="95" t="s">
        <v>251</v>
      </c>
      <c r="B16" s="79"/>
      <c r="C16" s="94" t="str">
        <f>IFERROR(__xludf.DUMMYFUNCTION("GOOGLETRANSLATE(A16,""pt"",""en"")"),"Material:")</f>
        <v>Material:</v>
      </c>
      <c r="D16" s="79"/>
    </row>
    <row r="17" ht="12.75" customHeight="1">
      <c r="A17" s="95" t="s">
        <v>252</v>
      </c>
      <c r="B17" s="79"/>
      <c r="C17" s="94" t="str">
        <f>IFERROR(__xludf.DUMMYFUNCTION("GOOGLETRANSLATE(A17,""pt"",""en"")"),"Powder state:")</f>
        <v>Powder state:</v>
      </c>
      <c r="D17" s="79"/>
    </row>
    <row r="18" ht="12.75" customHeight="1">
      <c r="A18" s="95" t="s">
        <v>253</v>
      </c>
      <c r="B18" s="79"/>
      <c r="C18" s="94" t="str">
        <f>IFERROR(__xludf.DUMMYFUNCTION("GOOGLETRANSLATE(A18,""pt"",""en"")"),"Feedstock Certificate No.:")</f>
        <v>Feedstock Certificate No.:</v>
      </c>
      <c r="D18" s="79"/>
    </row>
    <row r="19" ht="12.75" customHeight="1">
      <c r="A19" s="98" t="s">
        <v>307</v>
      </c>
      <c r="B19" s="79"/>
      <c r="C19" s="88" t="str">
        <f>IFERROR(__xludf.DUMMYFUNCTION("GOOGLETRANSLATE(A19,""pt"",""en"")"),"3. Hardware and software")</f>
        <v>3. Hardware and software</v>
      </c>
      <c r="D19" s="79"/>
    </row>
    <row r="20" ht="12.75" customHeight="1">
      <c r="A20" s="92" t="s">
        <v>180</v>
      </c>
      <c r="B20" s="92"/>
      <c r="C20" s="92" t="str">
        <f>IFERROR(__xludf.DUMMYFUNCTION("GOOGLETRANSLATE(A20,""pt"",""en"")"),"MA Technology:")</f>
        <v>MA Technology: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2.75" customHeight="1">
      <c r="A21" s="92" t="s">
        <v>181</v>
      </c>
      <c r="B21" s="92"/>
      <c r="C21" s="92" t="str">
        <f>IFERROR(__xludf.DUMMYFUNCTION("GOOGLETRANSLATE(A21,""pt"",""en"")"),"MA equipment:")</f>
        <v>MA equipment: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2.75" customHeight="1">
      <c r="A22" s="93" t="s">
        <v>223</v>
      </c>
      <c r="B22" s="92"/>
      <c r="C22" s="92" t="str">
        <f>IFERROR(__xludf.DUMMYFUNCTION("GOOGLETRANSLATE(A22,""pt"",""en"")"),"Build plate:")</f>
        <v>Build plate: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2.75" customHeight="1">
      <c r="A23" s="93" t="s">
        <v>224</v>
      </c>
      <c r="B23" s="92"/>
      <c r="C23" s="92" t="str">
        <f>IFERROR(__xludf.DUMMYFUNCTION("GOOGLETRANSLATE(A23,""pt"",""en"")"),"Recoater:")</f>
        <v>Recoater: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2.75" customHeight="1">
      <c r="A24" s="93" t="s">
        <v>225</v>
      </c>
      <c r="B24" s="92"/>
      <c r="C24" s="92" t="str">
        <f>IFERROR(__xludf.DUMMYFUNCTION("GOOGLETRANSLATE(A24,""pt"",""en"")"),"Laser system and optics:")</f>
        <v>Laser system and optics:</v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2.75" customHeight="1">
      <c r="A25" s="92" t="s">
        <v>187</v>
      </c>
      <c r="B25" s="92"/>
      <c r="C25" s="92" t="str">
        <f>IFERROR(__xludf.DUMMYFUNCTION("GOOGLETRANSLATE(A25,""pt"",""en"")"),"Software and Firmware:")</f>
        <v>Software and Firmware:</v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2.75" customHeight="1">
      <c r="A26" s="93" t="s">
        <v>226</v>
      </c>
      <c r="B26" s="92"/>
      <c r="C26" s="92" t="str">
        <f>IFERROR(__xludf.DUMMYFUNCTION("GOOGLETRANSLATE(A26,""pt"",""en"")"),"Sieve:")</f>
        <v>Sieve:</v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2.75" customHeight="1">
      <c r="A27" s="98" t="s">
        <v>308</v>
      </c>
      <c r="B27" s="92"/>
      <c r="C27" s="92" t="str">
        <f>IFERROR(__xludf.DUMMYFUNCTION("GOOGLETRANSLATE(A27,""pt"",""en"")"),"4. Materials and consumables")</f>
        <v>4. Materials and consumables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2.75" customHeight="1">
      <c r="A28" s="94" t="s">
        <v>189</v>
      </c>
      <c r="B28" s="79"/>
      <c r="C28" s="88" t="str">
        <f>IFERROR(__xludf.DUMMYFUNCTION("GOOGLETRANSLATE(A28,""pt"",""en"")"),"Feeding material (Alloy):")</f>
        <v>Feeding material (Alloy):</v>
      </c>
      <c r="D28" s="79"/>
    </row>
    <row r="29" ht="12.75" customHeight="1">
      <c r="A29" s="95" t="s">
        <v>228</v>
      </c>
      <c r="B29" s="79"/>
      <c r="C29" s="94" t="str">
        <f>IFERROR(__xludf.DUMMYFUNCTION("GOOGLETRANSLATE(A29,""pt"",""en"")"),"Chemical composition:")</f>
        <v>Chemical composition:</v>
      </c>
      <c r="D29" s="79"/>
    </row>
    <row r="30" ht="12.75" customHeight="1">
      <c r="A30" s="95" t="s">
        <v>229</v>
      </c>
      <c r="B30" s="79"/>
      <c r="C30" s="94" t="str">
        <f>IFERROR(__xludf.DUMMYFUNCTION("GOOGLETRANSLATE(A30,""pt"",""en"")"),"Particle shape:")</f>
        <v>Particle shape:</v>
      </c>
      <c r="D30" s="79"/>
    </row>
    <row r="31" ht="12.75" customHeight="1">
      <c r="A31" s="95" t="s">
        <v>230</v>
      </c>
      <c r="B31" s="79"/>
      <c r="C31" s="94" t="str">
        <f>IFERROR(__xludf.DUMMYFUNCTION("GOOGLETRANSLATE(A31,""pt"",""en"")"),"Particle size distribution:")</f>
        <v>Particle size distribution:</v>
      </c>
      <c r="D31" s="79"/>
    </row>
    <row r="32" ht="12.75" customHeight="1">
      <c r="A32" s="95" t="s">
        <v>231</v>
      </c>
      <c r="B32" s="79"/>
      <c r="C32" s="94" t="str">
        <f>IFERROR(__xludf.DUMMYFUNCTION("GOOGLETRANSLATE(A32,""pt"",""en"")"),"Apparent density:")</f>
        <v>Apparent density:</v>
      </c>
      <c r="D32" s="79"/>
    </row>
    <row r="33" ht="12.75" customHeight="1">
      <c r="A33" s="95" t="s">
        <v>232</v>
      </c>
      <c r="B33" s="79"/>
      <c r="C33" s="94" t="str">
        <f>IFERROR(__xludf.DUMMYFUNCTION("GOOGLETRANSLATE(A33,""pt"",""en"")"),"Fluidity:")</f>
        <v>Fluidity:</v>
      </c>
      <c r="D33" s="79"/>
    </row>
    <row r="34" ht="12.75" customHeight="1">
      <c r="A34" s="95" t="s">
        <v>233</v>
      </c>
      <c r="B34" s="79"/>
      <c r="C34" s="94" t="str">
        <f>IFERROR(__xludf.DUMMYFUNCTION("GOOGLETRANSLATE(A34,""pt"",""en"")"),"Inert process gas (Composition):")</f>
        <v>Inert process gas (Composition):</v>
      </c>
      <c r="D34" s="79"/>
    </row>
    <row r="35" ht="12.75" customHeight="1">
      <c r="A35" s="94" t="s">
        <v>191</v>
      </c>
      <c r="B35" s="79"/>
      <c r="C35" s="94" t="str">
        <f>IFERROR(__xludf.DUMMYFUNCTION("GOOGLETRANSLATE(A35,""pt"",""en"")"),"Material Certificate (Lot):")</f>
        <v>Material Certificate (Lot):</v>
      </c>
      <c r="D35" s="79"/>
    </row>
    <row r="36" ht="12.75" customHeight="1">
      <c r="A36" s="95" t="s">
        <v>198</v>
      </c>
      <c r="B36" s="79"/>
      <c r="C36" s="94" t="str">
        <f>IFERROR(__xludf.DUMMYFUNCTION("GOOGLETRANSLATE(A36,""pt"",""en"")"),"Thermal post-processing:")</f>
        <v>Thermal post-processing:</v>
      </c>
      <c r="D36" s="79"/>
    </row>
    <row r="37" ht="12.75" customHeight="1">
      <c r="A37" s="98" t="s">
        <v>309</v>
      </c>
      <c r="B37" s="79"/>
      <c r="C37" s="88" t="str">
        <f>IFERROR(__xludf.DUMMYFUNCTION("GOOGLETRANSLATE(A37,""pt"",""en"")"),"5. Post-processing")</f>
        <v>5. Post-processing</v>
      </c>
      <c r="D37" s="79"/>
    </row>
    <row r="38" ht="12.75" customHeight="1">
      <c r="A38" s="94" t="s">
        <v>198</v>
      </c>
      <c r="B38" s="79"/>
      <c r="C38" s="94" t="str">
        <f>IFERROR(__xludf.DUMMYFUNCTION("GOOGLETRANSLATE(A38,""pt"",""en"")"),"Thermal post-processing:")</f>
        <v>Thermal post-processing:</v>
      </c>
      <c r="D38" s="79"/>
    </row>
    <row r="39" ht="12.75" customHeight="1">
      <c r="A39" s="98" t="s">
        <v>310</v>
      </c>
      <c r="B39" s="79"/>
      <c r="C39" s="88" t="str">
        <f>IFERROR(__xludf.DUMMYFUNCTION("GOOGLETRANSLATE(A39,""pt"",""en"")"),"6. Process parameters")</f>
        <v>6. Process parameters</v>
      </c>
      <c r="D39" s="79"/>
    </row>
    <row r="40" ht="12.75" customHeight="1">
      <c r="A40" s="95" t="s">
        <v>236</v>
      </c>
      <c r="B40" s="79"/>
      <c r="C40" s="94" t="str">
        <f>IFERROR(__xludf.DUMMYFUNCTION("GOOGLETRANSLATE(A40,""pt"",""en"")"),"Parameter set:")</f>
        <v>Parameter set:</v>
      </c>
      <c r="D40" s="79"/>
    </row>
    <row r="41" ht="12.75" customHeight="1">
      <c r="A41" s="98" t="s">
        <v>258</v>
      </c>
      <c r="B41" s="79"/>
      <c r="C41" s="98" t="str">
        <f>IFERROR(__xludf.DUMMYFUNCTION("GOOGLETRANSLATE(A41,""pt"",""en"")"),"7. DETAILS OF THE QUALIFICATION CONSTRUCTION")</f>
        <v>7. DETAILS OF THE QUALIFICATION CONSTRUCTION</v>
      </c>
      <c r="D41" s="79"/>
    </row>
    <row r="42" ht="12.75" customHeight="1">
      <c r="A42" s="94" t="s">
        <v>259</v>
      </c>
      <c r="B42" s="79"/>
      <c r="C42" s="94" t="str">
        <f>IFERROR(__xludf.DUMMYFUNCTION("GOOGLETRANSLATE(A42,""pt"",""en"")"),"Description (Orientation, Supports, Nesting):")</f>
        <v>Description (Orientation, Supports, Nesting):</v>
      </c>
      <c r="D42" s="79"/>
    </row>
    <row r="43" ht="12.75" customHeight="1">
      <c r="A43" s="94" t="s">
        <v>260</v>
      </c>
      <c r="B43" s="79"/>
      <c r="C43" s="94" t="str">
        <f>IFERROR(__xludf.DUMMYFUNCTION("GOOGLETRANSLATE(A43,""pt"",""en"")"),"Image of the Platform Layout:")</f>
        <v>Image of the Platform Layout:</v>
      </c>
      <c r="D43" s="79"/>
    </row>
    <row r="44" ht="12.75" customHeight="1">
      <c r="A44" s="98" t="s">
        <v>261</v>
      </c>
      <c r="B44" s="79"/>
      <c r="C44" s="98" t="str">
        <f>IFERROR(__xludf.DUMMYFUNCTION("GOOGLETRANSLATE(A44,""pt"",""en"")"),"8. TEST RESULTS (NDT) (AMC 2 and 3)")</f>
        <v>8. TEST RESULTS (NDT) (AMC 2 and 3)</v>
      </c>
      <c r="D44" s="79"/>
    </row>
    <row r="45" ht="12.75" customHeight="1">
      <c r="A45" s="95" t="s">
        <v>262</v>
      </c>
      <c r="B45" s="79"/>
      <c r="C45" s="94" t="str">
        <f>IFERROR(__xludf.DUMMYFUNCTION("GOOGLETRANSLATE(A45,""pt"",""en"")"),"Visual Inspection (100% of the part):")</f>
        <v>Visual Inspection (100% of the part):</v>
      </c>
      <c r="D45" s="79"/>
    </row>
    <row r="46" ht="12.75" customHeight="1">
      <c r="A46" s="95" t="s">
        <v>263</v>
      </c>
      <c r="B46" s="79"/>
      <c r="C46" s="94" t="str">
        <f>IFERROR(__xludf.DUMMYFUNCTION("GOOGLETRANSLATE(A46,""pt"",""en"")"),"Dimensional Verification (As per requirements):")</f>
        <v>Dimensional Verification (As per requirements):</v>
      </c>
      <c r="D46" s="79"/>
    </row>
    <row r="47" ht="12.75" customHeight="1">
      <c r="A47" s="95" t="s">
        <v>264</v>
      </c>
      <c r="B47" s="79"/>
      <c r="C47" s="94" t="str">
        <f>IFERROR(__xludf.DUMMYFUNCTION("GOOGLETRANSLATE(A47,""pt"",""en"")"),"Surface Tests (NDT) (100% of the piece):")</f>
        <v>Surface Tests (NDT) (100% of the piece):</v>
      </c>
      <c r="D47" s="79"/>
    </row>
    <row r="48" ht="12.75" customHeight="1">
      <c r="A48" s="95" t="s">
        <v>265</v>
      </c>
      <c r="B48" s="79"/>
      <c r="C48" s="94" t="str">
        <f>IFERROR(__xludf.DUMMYFUNCTION("GOOGLETRANSLATE(A48,""pt"",""en"")"),"Volumetric Testing (NDT) (100% of the piece):")</f>
        <v>Volumetric Testing (NDT) (100% of the piece):</v>
      </c>
      <c r="D48" s="79"/>
    </row>
    <row r="49" ht="12.75" customHeight="1">
      <c r="A49" s="98" t="s">
        <v>266</v>
      </c>
      <c r="B49" s="79"/>
      <c r="C49" s="98" t="str">
        <f>IFERROR(__xludf.DUMMYFUNCTION("GOOGLETRANSLATE(A49,""pt"",""en"")"),"9. TEST RESULTS (MEC/MET) (AMC 3)")</f>
        <v>9. TEST RESULTS (MEC/MET) (AMC 3)</v>
      </c>
      <c r="D49" s="79"/>
    </row>
    <row r="50" ht="12.75" customHeight="1">
      <c r="A50" s="95" t="s">
        <v>267</v>
      </c>
      <c r="B50" s="79"/>
      <c r="C50" s="94" t="str">
        <f>IFERROR(__xludf.DUMMYFUNCTION("GOOGLETRANSLATE(A50,""pt"",""en"")"),"Tensile test (of the ""critical sections""):")</f>
        <v>Tensile test (of the "critical sections"):</v>
      </c>
      <c r="D50" s="79"/>
    </row>
    <row r="51" ht="12.75" customHeight="1">
      <c r="A51" s="95" t="s">
        <v>268</v>
      </c>
      <c r="B51" s="79"/>
      <c r="C51" s="94" t="str">
        <f>IFERROR(__xludf.DUMMYFUNCTION("GOOGLETRANSLATE(A51,""pt"",""en"")"),"Hardness Measurements (of the ""critical sections""):")</f>
        <v>Hardness Measurements (of the "critical sections"):</v>
      </c>
      <c r="D51" s="79"/>
    </row>
    <row r="52" ht="12.75" customHeight="1">
      <c r="A52" s="95" t="s">
        <v>269</v>
      </c>
      <c r="B52" s="79"/>
      <c r="C52" s="94" t="str">
        <f>IFERROR(__xludf.DUMMYFUNCTION("GOOGLETRANSLATE(A52,""pt"",""en"")"),"Macro/Micro/Porosity Assessment (of ""thin, thick, and critical sections""):")</f>
        <v>Macro/Micro/Porosity Assessment (of "thin, thick, and critical sections"):</v>
      </c>
      <c r="D52" s="79"/>
    </row>
    <row r="53" ht="12.75" customHeight="1">
      <c r="A53" s="95" t="s">
        <v>270</v>
      </c>
      <c r="B53" s="79"/>
      <c r="C53" s="94" t="str">
        <f>IFERROR(__xludf.DUMMYFUNCTION("GOOGLETRANSLATE(A53,""pt"",""en"")"),"Production Tests (Production test specimens included):")</f>
        <v>Production Tests (Production test specimens included):</v>
      </c>
      <c r="D53" s="79"/>
    </row>
    <row r="54" ht="12.75" customHeight="1">
      <c r="A54" s="95" t="s">
        <v>271</v>
      </c>
      <c r="B54" s="79"/>
      <c r="C54" s="94" t="str">
        <f>IFERROR(__xludf.DUMMYFUNCTION("GOOGLETRANSLATE(A54,""pt"",""en"")"),"Thin-wall tensile test (if applicable):")</f>
        <v>Thin-wall tensile test (if applicable):</v>
      </c>
      <c r="D54" s="79"/>
    </row>
    <row r="55" ht="12.75" customHeight="1"/>
    <row r="56" ht="12.75" customHeight="1"/>
    <row r="57" ht="12.75" customHeight="1">
      <c r="A57" s="100" t="s">
        <v>272</v>
      </c>
      <c r="B57" s="101"/>
      <c r="C57" s="101"/>
      <c r="D57" s="102"/>
    </row>
    <row r="58" ht="12.75" customHeight="1">
      <c r="A58" s="103" t="s">
        <v>273</v>
      </c>
      <c r="B58" s="103" t="s">
        <v>274</v>
      </c>
      <c r="C58" s="103" t="s">
        <v>275</v>
      </c>
      <c r="D58" s="103" t="s">
        <v>276</v>
      </c>
    </row>
    <row r="59" ht="12.75" customHeight="1">
      <c r="A59" s="104" t="s">
        <v>277</v>
      </c>
      <c r="B59" s="105" t="s">
        <v>278</v>
      </c>
      <c r="C59" s="104" t="s">
        <v>279</v>
      </c>
      <c r="D59" s="106" t="s">
        <v>280</v>
      </c>
    </row>
    <row r="60" ht="12.75" customHeight="1">
      <c r="A60" s="104" t="s">
        <v>281</v>
      </c>
      <c r="B60" s="105" t="s">
        <v>282</v>
      </c>
      <c r="C60" s="104" t="s">
        <v>283</v>
      </c>
      <c r="D60" s="106" t="s">
        <v>284</v>
      </c>
    </row>
    <row r="61" ht="12.75" customHeight="1">
      <c r="A61" s="104" t="s">
        <v>285</v>
      </c>
      <c r="B61" s="105" t="s">
        <v>286</v>
      </c>
      <c r="C61" s="104" t="s">
        <v>287</v>
      </c>
      <c r="D61" s="106" t="s">
        <v>288</v>
      </c>
    </row>
    <row r="62" ht="12.75" customHeight="1"/>
    <row r="63" ht="12.75" customHeight="1"/>
    <row r="64" ht="12.75" customHeight="1">
      <c r="A64" s="100" t="s">
        <v>289</v>
      </c>
      <c r="B64" s="101"/>
      <c r="C64" s="101"/>
      <c r="D64" s="102"/>
    </row>
    <row r="65" ht="12.75" customHeight="1">
      <c r="A65" s="103" t="s">
        <v>290</v>
      </c>
      <c r="B65" s="103" t="s">
        <v>274</v>
      </c>
      <c r="C65" s="103" t="s">
        <v>275</v>
      </c>
      <c r="D65" s="103" t="s">
        <v>276</v>
      </c>
    </row>
    <row r="66" ht="12.75" customHeight="1">
      <c r="A66" s="104" t="s">
        <v>291</v>
      </c>
      <c r="B66" s="105" t="s">
        <v>292</v>
      </c>
      <c r="C66" s="104" t="s">
        <v>293</v>
      </c>
      <c r="D66" s="106"/>
    </row>
    <row r="67" ht="12.75" customHeight="1">
      <c r="A67" s="104" t="s">
        <v>294</v>
      </c>
      <c r="B67" s="105" t="s">
        <v>295</v>
      </c>
      <c r="C67" s="104" t="s">
        <v>296</v>
      </c>
      <c r="D67" s="106"/>
    </row>
    <row r="68" ht="12.75" customHeight="1"/>
    <row r="69" ht="12.75" customHeight="1"/>
    <row r="70" ht="12.75" customHeight="1">
      <c r="A70" s="100" t="s">
        <v>297</v>
      </c>
      <c r="B70" s="101"/>
      <c r="C70" s="101"/>
      <c r="D70" s="102"/>
    </row>
    <row r="71" ht="12.75" customHeight="1">
      <c r="A71" s="103" t="s">
        <v>298</v>
      </c>
      <c r="B71" s="103" t="s">
        <v>274</v>
      </c>
      <c r="C71" s="103" t="s">
        <v>275</v>
      </c>
      <c r="D71" s="103" t="s">
        <v>276</v>
      </c>
    </row>
    <row r="72" ht="12.75" customHeight="1">
      <c r="A72" s="104" t="s">
        <v>299</v>
      </c>
      <c r="B72" s="105" t="s">
        <v>300</v>
      </c>
      <c r="C72" s="104" t="s">
        <v>301</v>
      </c>
      <c r="D72" s="106"/>
    </row>
    <row r="73" ht="12.75" customHeight="1">
      <c r="A73" s="104" t="s">
        <v>302</v>
      </c>
      <c r="B73" s="105" t="s">
        <v>303</v>
      </c>
      <c r="C73" s="104" t="s">
        <v>301</v>
      </c>
      <c r="D73" s="106"/>
    </row>
    <row r="74" ht="12.75" customHeight="1"/>
    <row r="75" ht="12.75" customHeight="1"/>
    <row r="76">
      <c r="A76" s="39" t="s">
        <v>304</v>
      </c>
      <c r="B76" s="39" t="s">
        <v>8</v>
      </c>
      <c r="C76" s="39" t="s">
        <v>46</v>
      </c>
      <c r="D76" s="107" t="s">
        <v>47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</sheetData>
  <mergeCells count="6">
    <mergeCell ref="B2:C2"/>
    <mergeCell ref="A3:D3"/>
    <mergeCell ref="A57:D57"/>
    <mergeCell ref="A64:D64"/>
    <mergeCell ref="A70:D70"/>
    <mergeCell ref="A75:Z75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2.63"/>
    <col customWidth="1" min="2" max="2" width="59.38"/>
    <col customWidth="1" min="3" max="3" width="70.13"/>
    <col customWidth="1" min="4" max="4" width="31.38"/>
    <col customWidth="1" hidden="1" min="5" max="5" width="9.13"/>
    <col customWidth="1" hidden="1" min="6" max="6" width="13.75"/>
    <col customWidth="1" hidden="1" min="7" max="26" width="8.63"/>
  </cols>
  <sheetData>
    <row r="1" ht="50.25" customHeight="1">
      <c r="A1" s="16"/>
      <c r="B1" s="17" t="s">
        <v>311</v>
      </c>
      <c r="C1" s="18"/>
      <c r="D1" s="19" t="s">
        <v>312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1" t="s">
        <v>1</v>
      </c>
      <c r="B2" s="37"/>
      <c r="C2" s="37"/>
      <c r="D2" s="3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25" t="s">
        <v>313</v>
      </c>
      <c r="B3" s="26" t="s">
        <v>3</v>
      </c>
      <c r="C3" s="25" t="s">
        <v>314</v>
      </c>
      <c r="D3" s="26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81" t="s">
        <v>16</v>
      </c>
      <c r="B4" s="108"/>
      <c r="C4" s="109" t="str">
        <f>IFERROR(__xludf.DUMMYFUNCTION("GOOGLETRANSLATE(A4,""pt"",""en"")"),"Identification number:")</f>
        <v>Identification number:</v>
      </c>
      <c r="D4" s="108" t="str">
        <f>IFERROR(__xludf.DUMMYFUNCTION("GOOGLETRANSLATE(B4,""pt"",""en"")"),"#VALUE!")</f>
        <v>#VALUE!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94" t="s">
        <v>315</v>
      </c>
      <c r="B5" s="89"/>
      <c r="C5" s="94" t="str">
        <f>IFERROR(__xludf.DUMMYFUNCTION("GOOGLETRANSLATE(A5,""pt"",""en"")"),"Qualification date:")</f>
        <v>Qualification date:</v>
      </c>
      <c r="D5" s="89" t="str">
        <f>IFERROR(__xludf.DUMMYFUNCTION("GOOGLETRANSLATE(B5,""pt"",""en"")"),"#VALUE!")</f>
        <v>#VALUE!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10" t="s">
        <v>316</v>
      </c>
      <c r="B6" s="111"/>
      <c r="C6" s="110" t="str">
        <f>IFERROR(__xludf.DUMMYFUNCTION("GOOGLETRANSLATE(A6,""pt"",""en"")"),"Manufacturer/subsupplier and location:")</f>
        <v>Manufacturer/subsupplier and location:</v>
      </c>
      <c r="D6" s="111" t="str">
        <f>IFERROR(__xludf.DUMMYFUNCTION("GOOGLETRANSLATE(B6,""pt"",""en"")"),"#VALUE!")</f>
        <v>#VALUE!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94" t="s">
        <v>317</v>
      </c>
      <c r="B7" s="89"/>
      <c r="C7" s="94" t="str">
        <f>IFERROR(__xludf.DUMMYFUNCTION("GOOGLETRANSLATE(A7,""pt"",""en"")"),"Manufacturing standards used:")</f>
        <v>Manufacturing standards used:</v>
      </c>
      <c r="D7" s="89" t="str">
        <f>IFERROR(__xludf.DUMMYFUNCTION("GOOGLETRANSLATE(B7,""pt"",""en"")"),"#VALUE!")</f>
        <v>#VALUE!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88" t="s">
        <v>179</v>
      </c>
      <c r="B8" s="89"/>
      <c r="C8" s="88" t="str">
        <f>IFERROR(__xludf.DUMMYFUNCTION("GOOGLETRANSLATE(A8,""pt"",""en"")"),"1. Hardware and software")</f>
        <v>1. Hardware and software</v>
      </c>
      <c r="D8" s="89" t="str">
        <f>IFERROR(__xludf.DUMMYFUNCTION("GOOGLETRANSLATE(B8,""pt"",""en"")"),"#VALUE!")</f>
        <v>#VALUE!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92" t="s">
        <v>180</v>
      </c>
      <c r="B9" s="90"/>
      <c r="C9" s="94" t="str">
        <f>IFERROR(__xludf.DUMMYFUNCTION("GOOGLETRANSLATE(A9,""pt"",""en"")"),"MA Technology:")</f>
        <v>MA Technology:</v>
      </c>
      <c r="D9" s="89" t="str">
        <f>IFERROR(__xludf.DUMMYFUNCTION("GOOGLETRANSLATE(B9,""pt"",""en"")"),"#VALUE!")</f>
        <v>#VALUE!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92" t="s">
        <v>181</v>
      </c>
      <c r="B10" s="90"/>
      <c r="C10" s="94" t="str">
        <f>IFERROR(__xludf.DUMMYFUNCTION("GOOGLETRANSLATE(A10,""pt"",""en"")"),"MA equipment:")</f>
        <v>MA equipment:</v>
      </c>
      <c r="D10" s="89" t="str">
        <f>IFERROR(__xludf.DUMMYFUNCTION("GOOGLETRANSLATE(B10,""pt"",""en"")"),"#VALUE!")</f>
        <v>#VALUE!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92" t="s">
        <v>182</v>
      </c>
      <c r="B11" s="90"/>
      <c r="C11" s="94" t="str">
        <f>IFERROR(__xludf.DUMMYFUNCTION("GOOGLETRANSLATE(A11,""pt"",""en"")"),"Power Source:")</f>
        <v>Power Source:</v>
      </c>
      <c r="D11" s="89" t="str">
        <f>IFERROR(__xludf.DUMMYFUNCTION("GOOGLETRANSLATE(B11,""pt"",""en"")"),"#VALUE!")</f>
        <v>#VALUE!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92" t="s">
        <v>183</v>
      </c>
      <c r="B12" s="90"/>
      <c r="C12" s="94" t="str">
        <f>IFERROR(__xludf.DUMMYFUNCTION("GOOGLETRANSLATE(A12,""pt"",""en"")"),"Laser (Details):")</f>
        <v>Laser (Details):</v>
      </c>
      <c r="D12" s="89" t="str">
        <f>IFERROR(__xludf.DUMMYFUNCTION("GOOGLETRANSLATE(B12,""pt"",""en"")"),"#VALUE!")</f>
        <v>#VALUE!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92" t="s">
        <v>184</v>
      </c>
      <c r="B13" s="90"/>
      <c r="C13" s="94" t="str">
        <f>IFERROR(__xludf.DUMMYFUNCTION("GOOGLETRANSLATE(A13,""pt"",""en"")"),"Positioner:")</f>
        <v>Positioner:</v>
      </c>
      <c r="D13" s="89" t="str">
        <f>IFERROR(__xludf.DUMMYFUNCTION("GOOGLETRANSLATE(B13,""pt"",""en"")"),"#VALUE!")</f>
        <v>#VALUE!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92" t="s">
        <v>185</v>
      </c>
      <c r="B14" s="90"/>
      <c r="C14" s="94" t="str">
        <f>IFERROR(__xludf.DUMMYFUNCTION("GOOGLETRANSLATE(A14,""pt"",""en"")"),"Feeding Mechanism:")</f>
        <v>Feeding Mechanism:</v>
      </c>
      <c r="D14" s="89" t="str">
        <f>IFERROR(__xludf.DUMMYFUNCTION("GOOGLETRANSLATE(B14,""pt"",""en"")"),"#VALUE!")</f>
        <v>#VALUE!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92" t="s">
        <v>186</v>
      </c>
      <c r="B15" s="90"/>
      <c r="C15" s="94" t="str">
        <f>IFERROR(__xludf.DUMMYFUNCTION("GOOGLETRANSLATE(A15,""pt"",""en"")"),"Control System:")</f>
        <v>Control System:</v>
      </c>
      <c r="D15" s="89" t="str">
        <f>IFERROR(__xludf.DUMMYFUNCTION("GOOGLETRANSLATE(B15,""pt"",""en"")"),"#VALUE!")</f>
        <v>#VALUE!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92" t="s">
        <v>187</v>
      </c>
      <c r="B16" s="90"/>
      <c r="C16" s="94" t="str">
        <f>IFERROR(__xludf.DUMMYFUNCTION("GOOGLETRANSLATE(A16,""pt"",""en"")"),"Software and Firmware:")</f>
        <v>Software and Firmware:</v>
      </c>
      <c r="D16" s="11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88" t="s">
        <v>227</v>
      </c>
      <c r="B17" s="89"/>
      <c r="C17" s="88" t="str">
        <f>IFERROR(__xludf.DUMMYFUNCTION("GOOGLETRANSLATE(A17,""pt"",""en"")"),"2. Materials and consumables")</f>
        <v>2. Materials and consumables</v>
      </c>
      <c r="D17" s="89" t="str">
        <f>IFERROR(__xludf.DUMMYFUNCTION("GOOGLETRANSLATE(B17,""pt"",""en"")"),"#VALUE!")</f>
        <v>#VALUE!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94" t="s">
        <v>189</v>
      </c>
      <c r="B18" s="89"/>
      <c r="C18" s="94" t="str">
        <f>IFERROR(__xludf.DUMMYFUNCTION("GOOGLETRANSLATE(A18,""pt"",""en"")"),"Feeding material (Alloy):")</f>
        <v>Feeding material (Alloy):</v>
      </c>
      <c r="D18" s="89" t="str">
        <f>IFERROR(__xludf.DUMMYFUNCTION("GOOGLETRANSLATE(B18,""pt"",""en"")"),"#VALUE!")</f>
        <v>#VALUE!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4" t="s">
        <v>190</v>
      </c>
      <c r="B19" s="89"/>
      <c r="C19" s="94" t="str">
        <f>IFERROR(__xludf.DUMMYFUNCTION("GOOGLETRANSLATE(A19,""pt"",""en"")"),"Feeding material (Form):")</f>
        <v>Feeding material (Form):</v>
      </c>
      <c r="D19" s="89" t="str">
        <f>IFERROR(__xludf.DUMMYFUNCTION("GOOGLETRANSLATE(B19,""pt"",""en"")"),"#VALUE!")</f>
        <v>#VALUE!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4" t="s">
        <v>191</v>
      </c>
      <c r="B20" s="89"/>
      <c r="C20" s="94" t="str">
        <f>IFERROR(__xludf.DUMMYFUNCTION("GOOGLETRANSLATE(A20,""pt"",""en"")"),"Material Certificate (Lot):")</f>
        <v>Material Certificate (Lot):</v>
      </c>
      <c r="D20" s="89" t="str">
        <f>IFERROR(__xludf.DUMMYFUNCTION("GOOGLETRANSLATE(B20,""pt"",""en"")"),"#VALUE!")</f>
        <v>#VALUE!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4" t="s">
        <v>192</v>
      </c>
      <c r="B21" s="89"/>
      <c r="C21" s="94" t="str">
        <f>IFERROR(__xludf.DUMMYFUNCTION("GOOGLETRANSLATE(A21,""pt"",""en"")"),"Powder characteristics:")</f>
        <v>Powder characteristics:</v>
      </c>
      <c r="D21" s="89" t="str">
        <f>IFERROR(__xludf.DUMMYFUNCTION("GOOGLETRANSLATE(B21,""pt"",""en"")"),"#VALUE!")</f>
        <v>#VALUE!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4" t="s">
        <v>193</v>
      </c>
      <c r="B22" s="89"/>
      <c r="C22" s="94" t="str">
        <f>IFERROR(__xludf.DUMMYFUNCTION("GOOGLETRANSLATE(A22,""pt"",""en"")"),"Wire diameter:")</f>
        <v>Wire diameter:</v>
      </c>
      <c r="D22" s="89" t="str">
        <f>IFERROR(__xludf.DUMMYFUNCTION("GOOGLETRANSLATE(B22,""pt"",""en"")"),"#VALUE!")</f>
        <v>#VALUE!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4" t="s">
        <v>194</v>
      </c>
      <c r="B23" s="89"/>
      <c r="C23" s="94" t="str">
        <f>IFERROR(__xludf.DUMMYFUNCTION("GOOGLETRANSLATE(A23,""pt"",""en"")"),"Substrate (Material / Batch):")</f>
        <v>Substrate (Material / Batch):</v>
      </c>
      <c r="D23" s="89" t="str">
        <f>IFERROR(__xludf.DUMMYFUNCTION("GOOGLETRANSLATE(B23,""pt"",""en"")"),"#VALUE!")</f>
        <v>#VALUE!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4" t="s">
        <v>195</v>
      </c>
      <c r="B24" s="89"/>
      <c r="C24" s="94" t="str">
        <f>IFERROR(__xludf.DUMMYFUNCTION("GOOGLETRANSLATE(A24,""pt"",""en"")"),"Shielding gas (Composition):")</f>
        <v>Shielding gas (Composition):</v>
      </c>
      <c r="D24" s="89" t="str">
        <f>IFERROR(__xludf.DUMMYFUNCTION("GOOGLETRANSLATE(B24,""pt"",""en"")"),"#VALUE!")</f>
        <v>#VALUE!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4" t="s">
        <v>196</v>
      </c>
      <c r="B25" s="89"/>
      <c r="C25" s="94" t="str">
        <f>IFERROR(__xludf.DUMMYFUNCTION("GOOGLETRANSLATE(A25,""pt"",""en"")"),"Transport gas (Composition):")</f>
        <v>Transport gas (Composition):</v>
      </c>
      <c r="D25" s="89" t="str">
        <f>IFERROR(__xludf.DUMMYFUNCTION("GOOGLETRANSLATE(B25,""pt"",""en"")"),"#VALUE!")</f>
        <v>#VALUE!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88" t="s">
        <v>234</v>
      </c>
      <c r="B26" s="89"/>
      <c r="C26" s="88" t="str">
        <f>IFERROR(__xludf.DUMMYFUNCTION("GOOGLETRANSLATE(A26,""pt"",""en"")"),"3. Post-processing")</f>
        <v>3. Post-processing</v>
      </c>
      <c r="D26" s="89" t="str">
        <f>IFERROR(__xludf.DUMMYFUNCTION("GOOGLETRANSLATE(B26,""pt"",""en"")"),"#VALUE!")</f>
        <v>#VALUE!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4" t="s">
        <v>198</v>
      </c>
      <c r="B27" s="89"/>
      <c r="C27" s="94" t="str">
        <f>IFERROR(__xludf.DUMMYFUNCTION("GOOGLETRANSLATE(A27,""pt"",""en"")"),"Thermal post-processing:")</f>
        <v>Thermal post-processing:</v>
      </c>
      <c r="D27" s="89" t="str">
        <f>IFERROR(__xludf.DUMMYFUNCTION("GOOGLETRANSLATE(B27,""pt"",""en"")"),"#VALUE!")</f>
        <v>#VALUE!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88" t="s">
        <v>235</v>
      </c>
      <c r="B28" s="89"/>
      <c r="C28" s="88" t="str">
        <f>IFERROR(__xludf.DUMMYFUNCTION("GOOGLETRANSLATE(A28,""pt"",""en"")"),"4. Process parameters")</f>
        <v>4. Process parameters</v>
      </c>
      <c r="D28" s="89" t="str">
        <f>IFERROR(__xludf.DUMMYFUNCTION("GOOGLETRANSLATE(B28,""pt"",""en"")"),"#VALUE!")</f>
        <v>#VALUE!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4" t="s">
        <v>201</v>
      </c>
      <c r="B29" s="89"/>
      <c r="C29" s="94" t="str">
        <f>IFERROR(__xludf.DUMMYFUNCTION("GOOGLETRANSLATE(A29,""pt"",""en"")"),"Preheating:")</f>
        <v>Preheating:</v>
      </c>
      <c r="D29" s="89" t="str">
        <f>IFERROR(__xludf.DUMMYFUNCTION("GOOGLETRANSLATE(B29,""pt"",""en"")"),"#VALUE!")</f>
        <v>#VALUE!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9" t="s">
        <v>202</v>
      </c>
      <c r="B30" s="113"/>
      <c r="C30" s="99" t="str">
        <f>IFERROR(__xludf.DUMMYFUNCTION("GOOGLETRANSLATE(A30,""pt"",""en"")"),"Temperature between passes:")</f>
        <v>Temperature between passes:</v>
      </c>
      <c r="D30" s="113" t="str">
        <f>IFERROR(__xludf.DUMMYFUNCTION("GOOGLETRANSLATE(B30,""pt"",""en"")"),"#VALUE!")</f>
        <v>#VALUE!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9" t="s">
        <v>203</v>
      </c>
      <c r="B31" s="113"/>
      <c r="C31" s="99" t="str">
        <f>IFERROR(__xludf.DUMMYFUNCTION("GOOGLETRANSLATE(A31,""pt"",""en"")"),"Cleaning method between passes:")</f>
        <v>Cleaning method between passes:</v>
      </c>
      <c r="D31" s="113" t="str">
        <f>IFERROR(__xludf.DUMMYFUNCTION("GOOGLETRANSLATE(B31,""pt"",""en"")"),"#VALUE!")</f>
        <v>#VALUE!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4" t="s">
        <v>204</v>
      </c>
      <c r="B32" s="89"/>
      <c r="C32" s="94" t="str">
        <f>IFERROR(__xludf.DUMMYFUNCTION("GOOGLETRANSLATE(A32,""pt"",""en"")"),"Forced cooling:")</f>
        <v>Forced cooling:</v>
      </c>
      <c r="D32" s="89" t="str">
        <f>IFERROR(__xludf.DUMMYFUNCTION("GOOGLETRANSLATE(B32,""pt"",""en"")"),"#VALUE!")</f>
        <v>#VALUE!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4" t="s">
        <v>205</v>
      </c>
      <c r="B33" s="89"/>
      <c r="C33" s="94" t="str">
        <f>IFERROR(__xludf.DUMMYFUNCTION("GOOGLETRANSLATE(A33,""pt"",""en"")"),"Construction thickness:")</f>
        <v>Construction thickness:</v>
      </c>
      <c r="D33" s="89" t="str">
        <f>IFERROR(__xludf.DUMMYFUNCTION("GOOGLETRANSLATE(B33,""pt"",""en"")"),"#VALUE!")</f>
        <v>#VALUE!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4" t="s">
        <v>206</v>
      </c>
      <c r="B34" s="89"/>
      <c r="C34" s="94" t="str">
        <f>IFERROR(__xludf.DUMMYFUNCTION("GOOGLETRANSLATE(A34,""pt"",""en"")"),"Deposition strategy:")</f>
        <v>Deposition strategy:</v>
      </c>
      <c r="D34" s="89" t="str">
        <f>IFERROR(__xludf.DUMMYFUNCTION("GOOGLETRANSLATE(B34,""pt"",""en"")"),"#VALUE!")</f>
        <v>#VALUE!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4" t="s">
        <v>207</v>
      </c>
      <c r="B35" s="89"/>
      <c r="C35" s="94" t="str">
        <f>IFERROR(__xludf.DUMMYFUNCTION("GOOGLETRANSLATE(A35,""pt"",""en"")"),"Degree of overlap between adjacent strands:")</f>
        <v>Degree of overlap between adjacent strands:</v>
      </c>
      <c r="D35" s="89" t="str">
        <f>IFERROR(__xludf.DUMMYFUNCTION("GOOGLETRANSLATE(B35,""pt"",""en"")"),"#VALUE!")</f>
        <v>#VALUE!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9" t="s">
        <v>208</v>
      </c>
      <c r="B36" s="113"/>
      <c r="C36" s="99" t="str">
        <f>IFERROR(__xludf.DUMMYFUNCTION("GOOGLETRANSLATE(A36,""pt"",""en"")"),"Construction position (according to ISO 6947 or similar):")</f>
        <v>Construction position (according to ISO 6947 or similar):</v>
      </c>
      <c r="D36" s="113" t="str">
        <f>IFERROR(__xludf.DUMMYFUNCTION("GOOGLETRANSLATE(B36,""pt"",""en"")"),"#VALUE!")</f>
        <v>#VALUE!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4" t="s">
        <v>209</v>
      </c>
      <c r="B37" s="89"/>
      <c r="C37" s="94" t="str">
        <f>IFERROR(__xludf.DUMMYFUNCTION("GOOGLETRANSLATE(A37,""pt"",""en"")"),"Powder or wire feed rate:")</f>
        <v>Powder or wire feed rate:</v>
      </c>
      <c r="D37" s="89" t="str">
        <f>IFERROR(__xludf.DUMMYFUNCTION("GOOGLETRANSLATE(B37,""pt"",""en"")"),"#VALUE!")</f>
        <v>#VALUE!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4" t="s">
        <v>210</v>
      </c>
      <c r="B38" s="89"/>
      <c r="C38" s="94" t="str">
        <f>IFERROR(__xludf.DUMMYFUNCTION("GOOGLETRANSLATE(A38,""pt"",""en"")"),"Layer height:")</f>
        <v>Layer height:</v>
      </c>
      <c r="D38" s="89" t="str">
        <f>IFERROR(__xludf.DUMMYFUNCTION("GOOGLETRANSLATE(B38,""pt"",""en"")"),"#VALUE!")</f>
        <v>#VALUE!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4" t="s">
        <v>211</v>
      </c>
      <c r="B39" s="89"/>
      <c r="C39" s="94" t="str">
        <f>IFERROR(__xludf.DUMMYFUNCTION("GOOGLETRANSLATE(A39,""pt"",""en"")"),"Distance between the nozzle and the substrate (initial layer):")</f>
        <v>Distance between the nozzle and the substrate (initial layer):</v>
      </c>
      <c r="D39" s="89" t="str">
        <f>IFERROR(__xludf.DUMMYFUNCTION("GOOGLETRANSLATE(B39,""pt"",""en"")"),"#VALUE!")</f>
        <v>#VALUE!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4" t="s">
        <v>212</v>
      </c>
      <c r="B40" s="89"/>
      <c r="C40" s="94" t="str">
        <f>IFERROR(__xludf.DUMMYFUNCTION("GOOGLETRANSLATE(A40,""pt"",""en"")"),"Distance between the nozzle and the deposited material:")</f>
        <v>Distance between the nozzle and the deposited material:</v>
      </c>
      <c r="D40" s="89" t="str">
        <f>IFERROR(__xludf.DUMMYFUNCTION("GOOGLETRANSLATE(B40,""pt"",""en"")"),"#VALUE!")</f>
        <v>#VALUE!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4" t="s">
        <v>213</v>
      </c>
      <c r="B41" s="89"/>
      <c r="C41" s="94" t="str">
        <f>IFERROR(__xludf.DUMMYFUNCTION("GOOGLETRANSLATE(A41,""pt"",""en"")"),"Energy density:")</f>
        <v>Energy density:</v>
      </c>
      <c r="D41" s="89" t="str">
        <f>IFERROR(__xludf.DUMMYFUNCTION("GOOGLETRANSLATE(B41,""pt"",""en"")"),"#VALUE!")</f>
        <v>#VALUE!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4" t="s">
        <v>214</v>
      </c>
      <c r="B42" s="89"/>
      <c r="C42" s="94" t="str">
        <f>IFERROR(__xludf.DUMMYFUNCTION("GOOGLETRANSLATE(A42,""pt"",""en"")"),"Pulse characteristics:")</f>
        <v>Pulse characteristics:</v>
      </c>
      <c r="D42" s="89" t="str">
        <f>IFERROR(__xludf.DUMMYFUNCTION("GOOGLETRANSLATE(B42,""pt"",""en"")"),"#VALUE!")</f>
        <v>#VALUE!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4" t="s">
        <v>215</v>
      </c>
      <c r="B43" s="89"/>
      <c r="C43" s="94" t="str">
        <f>IFERROR(__xludf.DUMMYFUNCTION("GOOGLETRANSLATE(A43,""pt"",""en"")"),"Laser spot size:")</f>
        <v>Laser spot size:</v>
      </c>
      <c r="D43" s="89" t="str">
        <f>IFERROR(__xludf.DUMMYFUNCTION("GOOGLETRANSLATE(B43,""pt"",""en"")"),"#VALUE!")</f>
        <v>#VALUE!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94" t="s">
        <v>216</v>
      </c>
      <c r="B44" s="89"/>
      <c r="C44" s="94" t="str">
        <f>IFERROR(__xludf.DUMMYFUNCTION("GOOGLETRANSLATE(A44,""pt"",""en"")"),"Straight or braided cord:")</f>
        <v>Straight or braided cord:</v>
      </c>
      <c r="D44" s="89" t="str">
        <f>IFERROR(__xludf.DUMMYFUNCTION("GOOGLETRANSLATE(B44,""pt"",""en"")"),"#VALUE!")</f>
        <v>#VALUE!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94" t="s">
        <v>217</v>
      </c>
      <c r="B45" s="89"/>
      <c r="C45" s="94" t="str">
        <f>IFERROR(__xludf.DUMMYFUNCTION("GOOGLETRANSLATE(A45,""pt"",""en"")"),"Shielding gas flow rate:")</f>
        <v>Shielding gas flow rate:</v>
      </c>
      <c r="D45" s="89" t="str">
        <f>IFERROR(__xludf.DUMMYFUNCTION("GOOGLETRANSLATE(B45,""pt"",""en"")"),"#VALUE!")</f>
        <v>#VALUE!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99" t="s">
        <v>218</v>
      </c>
      <c r="B46" s="113"/>
      <c r="C46" s="99" t="str">
        <f>IFERROR(__xludf.DUMMYFUNCTION("GOOGLETRANSLATE(A46,""pt"",""en"")"),"Dimensions of the protective gas nozzle, if applicable:")</f>
        <v>Dimensions of the protective gas nozzle, if applicable:</v>
      </c>
      <c r="D46" s="113" t="str">
        <f>IFERROR(__xludf.DUMMYFUNCTION("GOOGLETRANSLATE(B46,""pt"",""en"")"),"#VALUE!")</f>
        <v>#VALUE!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99" t="s">
        <v>219</v>
      </c>
      <c r="B47" s="113"/>
      <c r="C47" s="99" t="str">
        <f>IFERROR(__xludf.DUMMYFUNCTION("GOOGLETRANSLATE(A47,""pt"",""en"")"),"Atmospheric oxygen content, if applicable:")</f>
        <v>Atmospheric oxygen content, if applicable:</v>
      </c>
      <c r="D47" s="113" t="str">
        <f>IFERROR(__xludf.DUMMYFUNCTION("GOOGLETRANSLATE(B47,""pt"",""en"")"),"#VALUE!")</f>
        <v>#VALUE!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94" t="s">
        <v>318</v>
      </c>
      <c r="B48" s="89"/>
      <c r="C48" s="94" t="str">
        <f>IFERROR(__xludf.DUMMYFUNCTION("GOOGLETRANSLATE(A48,""pt"",""en"")"),"Test specimens: Tensile test (quantity and standard used):")</f>
        <v>Test specimens: Tensile test (quantity and standard used):</v>
      </c>
      <c r="D48" s="89" t="str">
        <f>IFERROR(__xludf.DUMMYFUNCTION("GOOGLETRANSLATE(B48,""pt"",""en"")"),"#VALUE!")</f>
        <v>#VALUE!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94" t="s">
        <v>319</v>
      </c>
      <c r="B49" s="89"/>
      <c r="C49" s="94" t="str">
        <f>IFERROR(__xludf.DUMMYFUNCTION("GOOGLETRANSLATE(A49,""pt"",""en"")"),"Test specimens: Thin-walled tensile test (quantity and standard used):")</f>
        <v>Test specimens: Thin-walled tensile test (quantity and standard used):</v>
      </c>
      <c r="D49" s="89" t="str">
        <f>IFERROR(__xludf.DUMMYFUNCTION("GOOGLETRANSLATE(B49,""pt"",""en"")"),"#VALUE!")</f>
        <v>#VALUE!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94" t="s">
        <v>320</v>
      </c>
      <c r="B50" s="89"/>
      <c r="C50" s="94" t="str">
        <f>IFERROR(__xludf.DUMMYFUNCTION("GOOGLETRANSLATE(A50,""pt"",""en"")"),"Test specimens: Impact test (quantity and standard used):")</f>
        <v>Test specimens: Impact test (quantity and standard used):</v>
      </c>
      <c r="D50" s="89" t="str">
        <f>IFERROR(__xludf.DUMMYFUNCTION("GOOGLETRANSLATE(B50,""pt"",""en"")"),"#VALUE!")</f>
        <v>#VALUE!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94" t="s">
        <v>321</v>
      </c>
      <c r="B51" s="89"/>
      <c r="C51" s="94" t="str">
        <f>IFERROR(__xludf.DUMMYFUNCTION("GOOGLETRANSLATE(A51,""pt"",""en"")"),"Test specimens: Hardness, Macrostructure, Microstructure and Porosity (quantity and standard used):")</f>
        <v>Test specimens: Hardness, Macrostructure, Microstructure and Porosity (quantity and standard used):</v>
      </c>
      <c r="D51" s="89" t="str">
        <f>IFERROR(__xludf.DUMMYFUNCTION("GOOGLETRANSLATE(B51,""pt"",""en"")"),"#VALUE!")</f>
        <v>#VALUE!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94" t="s">
        <v>322</v>
      </c>
      <c r="B52" s="89"/>
      <c r="C52" s="94" t="str">
        <f>IFERROR(__xludf.DUMMYFUNCTION("GOOGLETRANSLATE(A52,""pt"",""en"")"),"Test specimens: Chemical Analysis (standard used):")</f>
        <v>Test specimens: Chemical Analysis (standard used):</v>
      </c>
      <c r="D52" s="89" t="str">
        <f>IFERROR(__xludf.DUMMYFUNCTION("GOOGLETRANSLATE(B52,""pt"",""en"")"),"#VALUE!")</f>
        <v>#VALUE!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94" t="s">
        <v>323</v>
      </c>
      <c r="B53" s="89"/>
      <c r="C53" s="94" t="str">
        <f>IFERROR(__xludf.DUMMYFUNCTION("GOOGLETRANSLATE(A53,""pt"",""en"")"),"Details and sequence of post-processing:")</f>
        <v>Details and sequence of post-processing:</v>
      </c>
      <c r="D53" s="89" t="str">
        <f>IFERROR(__xludf.DUMMYFUNCTION("GOOGLETRANSLATE(B53,""pt"",""en"")"),"#VALUE!")</f>
        <v>#VALUE!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94" t="s">
        <v>324</v>
      </c>
      <c r="B54" s="89"/>
      <c r="C54" s="94" t="str">
        <f>IFERROR(__xludf.DUMMYFUNCTION("GOOGLETRANSLATE(A54,""pt"",""en"")"),"Results of the construction process qualification test (laboratory tests, orientation and location of test specimens):")</f>
        <v>Results of the construction process qualification test (laboratory tests, orientation and location of test specimens):</v>
      </c>
      <c r="D54" s="89" t="str">
        <f>IFERROR(__xludf.DUMMYFUNCTION("GOOGLETRANSLATE(B54,""pt"",""en"")"),"#VALUE!")</f>
        <v>#VALUE!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94" t="s">
        <v>325</v>
      </c>
      <c r="B55" s="89"/>
      <c r="C55" s="94" t="str">
        <f>IFERROR(__xludf.DUMMYFUNCTION("GOOGLETRANSLATE(A55,""pt"",""en"")"),"Non-destructive testing reports, with a statement of results/conformity, if applicable:")</f>
        <v>Non-destructive testing reports, with a statement of results/conformity, if applicable:</v>
      </c>
      <c r="D55" s="89" t="str">
        <f>IFERROR(__xludf.DUMMYFUNCTION("GOOGLETRANSLATE(B55,""pt"",""en"")"),"#VALUE!")</f>
        <v>#VALUE!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91"/>
    </row>
    <row r="57">
      <c r="A57" s="114" t="s">
        <v>326</v>
      </c>
      <c r="B57" s="114" t="s">
        <v>8</v>
      </c>
      <c r="C57" s="114" t="s">
        <v>46</v>
      </c>
      <c r="D57" s="115" t="s">
        <v>47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hidden="1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hidden="1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hidden="1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hidden="1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hidden="1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2.75" hidden="1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75" hidden="1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2.75" hidden="1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2.75" hidden="1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2.75" hidden="1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2.75" hidden="1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2.75" hidden="1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2.75" hidden="1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2.75" hidden="1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2.75" hidden="1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2.75" hidden="1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2.75" hidden="1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2.75" hidden="1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</sheetData>
  <mergeCells count="3">
    <mergeCell ref="B1:C1"/>
    <mergeCell ref="A2:D2"/>
    <mergeCell ref="A56:Z5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44.88"/>
    <col customWidth="1" min="3" max="3" width="65.38"/>
    <col customWidth="1" min="4" max="4" width="31.38"/>
    <col customWidth="1" hidden="1" min="5" max="5" width="9.13"/>
    <col customWidth="1" hidden="1" min="6" max="6" width="13.75"/>
    <col customWidth="1" hidden="1" min="7" max="26" width="8.63"/>
  </cols>
  <sheetData>
    <row r="1" ht="50.25" customHeight="1">
      <c r="A1" s="16"/>
      <c r="B1" s="17" t="s">
        <v>311</v>
      </c>
      <c r="C1" s="18"/>
      <c r="D1" s="19" t="s">
        <v>312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1" t="s">
        <v>1</v>
      </c>
      <c r="B2" s="37"/>
      <c r="C2" s="37"/>
      <c r="D2" s="3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25" t="s">
        <v>327</v>
      </c>
      <c r="B3" s="26" t="s">
        <v>3</v>
      </c>
      <c r="C3" s="25" t="s">
        <v>328</v>
      </c>
      <c r="D3" s="26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81" t="s">
        <v>16</v>
      </c>
      <c r="B4" s="108"/>
      <c r="C4" s="109" t="str">
        <f>IFERROR(__xludf.DUMMYFUNCTION("GOOGLETRANSLATE(A4,""pt"",""en"")"),"Identification number:")</f>
        <v>Identification number:</v>
      </c>
      <c r="D4" s="108" t="str">
        <f>IFERROR(__xludf.DUMMYFUNCTION("GOOGLETRANSLATE(B4,""pt"",""en"")"),"#VALUE!")</f>
        <v>#VALUE!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94" t="s">
        <v>315</v>
      </c>
      <c r="B5" s="89"/>
      <c r="C5" s="94" t="str">
        <f>IFERROR(__xludf.DUMMYFUNCTION("GOOGLETRANSLATE(A5,""pt"",""en"")"),"Qualification date:")</f>
        <v>Qualification date:</v>
      </c>
      <c r="D5" s="89" t="str">
        <f>IFERROR(__xludf.DUMMYFUNCTION("GOOGLETRANSLATE(B5,""pt"",""en"")"),"#VALUE!")</f>
        <v>#VALUE!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10" t="s">
        <v>316</v>
      </c>
      <c r="B6" s="111"/>
      <c r="C6" s="110" t="str">
        <f>IFERROR(__xludf.DUMMYFUNCTION("GOOGLETRANSLATE(A6,""pt"",""en"")"),"Manufacturer/subsupplier and location:")</f>
        <v>Manufacturer/subsupplier and location:</v>
      </c>
      <c r="D6" s="111" t="str">
        <f>IFERROR(__xludf.DUMMYFUNCTION("GOOGLETRANSLATE(B6,""pt"",""en"")"),"#VALUE!")</f>
        <v>#VALUE!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94" t="s">
        <v>317</v>
      </c>
      <c r="B7" s="89"/>
      <c r="C7" s="94" t="str">
        <f>IFERROR(__xludf.DUMMYFUNCTION("GOOGLETRANSLATE(A7,""pt"",""en"")"),"Manufacturing standards used:")</f>
        <v>Manufacturing standards used:</v>
      </c>
      <c r="D7" s="89" t="str">
        <f>IFERROR(__xludf.DUMMYFUNCTION("GOOGLETRANSLATE(B7,""pt"",""en"")"),"#VALUE!")</f>
        <v>#VALUE!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88" t="s">
        <v>179</v>
      </c>
      <c r="B8" s="89"/>
      <c r="C8" s="88" t="str">
        <f>IFERROR(__xludf.DUMMYFUNCTION("GOOGLETRANSLATE(A8,""pt"",""en"")"),"1. Hardware and software")</f>
        <v>1. Hardware and software</v>
      </c>
      <c r="D8" s="89" t="str">
        <f>IFERROR(__xludf.DUMMYFUNCTION("GOOGLETRANSLATE(B8,""pt"",""en"")"),"#VALUE!")</f>
        <v>#VALUE!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92" t="s">
        <v>180</v>
      </c>
      <c r="B9" s="90"/>
      <c r="C9" s="94" t="str">
        <f>IFERROR(__xludf.DUMMYFUNCTION("GOOGLETRANSLATE(A9,""pt"",""en"")"),"MA Technology:")</f>
        <v>MA Technology:</v>
      </c>
      <c r="D9" s="89" t="str">
        <f>IFERROR(__xludf.DUMMYFUNCTION("GOOGLETRANSLATE(B9,""pt"",""en"")"),"#VALUE!")</f>
        <v>#VALUE!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92" t="s">
        <v>181</v>
      </c>
      <c r="B10" s="90"/>
      <c r="C10" s="94" t="str">
        <f>IFERROR(__xludf.DUMMYFUNCTION("GOOGLETRANSLATE(A10,""pt"",""en"")"),"MA equipment:")</f>
        <v>MA equipment:</v>
      </c>
      <c r="D10" s="89" t="str">
        <f>IFERROR(__xludf.DUMMYFUNCTION("GOOGLETRANSLATE(B10,""pt"",""en"")"),"#VALUE!")</f>
        <v>#VALUE!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93" t="s">
        <v>223</v>
      </c>
      <c r="B11" s="90"/>
      <c r="C11" s="94" t="str">
        <f>IFERROR(__xludf.DUMMYFUNCTION("GOOGLETRANSLATE(A11,""pt"",""en"")"),"Build plate:")</f>
        <v>Build plate:</v>
      </c>
      <c r="D11" s="8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93" t="s">
        <v>224</v>
      </c>
      <c r="B12" s="90"/>
      <c r="C12" s="94" t="str">
        <f>IFERROR(__xludf.DUMMYFUNCTION("GOOGLETRANSLATE(A12,""pt"",""en"")"),"Recoater:")</f>
        <v>Recoater:</v>
      </c>
      <c r="D12" s="89" t="str">
        <f>IFERROR(__xludf.DUMMYFUNCTION("GOOGLETRANSLATE(B12,""pt"",""en"")"),"#VALUE!")</f>
        <v>#VALUE!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93" t="s">
        <v>225</v>
      </c>
      <c r="B13" s="90"/>
      <c r="C13" s="94" t="str">
        <f>IFERROR(__xludf.DUMMYFUNCTION("GOOGLETRANSLATE(A13,""pt"",""en"")"),"Laser system and optics:")</f>
        <v>Laser system and optics:</v>
      </c>
      <c r="D13" s="89" t="str">
        <f>IFERROR(__xludf.DUMMYFUNCTION("GOOGLETRANSLATE(B13,""pt"",""en"")"),"#VALUE!")</f>
        <v>#VALUE!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92" t="s">
        <v>187</v>
      </c>
      <c r="B14" s="90"/>
      <c r="C14" s="94" t="str">
        <f>IFERROR(__xludf.DUMMYFUNCTION("GOOGLETRANSLATE(A14,""pt"",""en"")"),"Software and Firmware:")</f>
        <v>Software and Firmware:</v>
      </c>
      <c r="D14" s="89" t="str">
        <f>IFERROR(__xludf.DUMMYFUNCTION("GOOGLETRANSLATE(B14,""pt"",""en"")"),"#VALUE!")</f>
        <v>#VALUE!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93" t="s">
        <v>226</v>
      </c>
      <c r="B15" s="90"/>
      <c r="C15" s="94" t="str">
        <f>IFERROR(__xludf.DUMMYFUNCTION("GOOGLETRANSLATE(A15,""pt"",""en"")"),"Sieve:")</f>
        <v>Sieve:</v>
      </c>
      <c r="D15" s="11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88" t="s">
        <v>227</v>
      </c>
      <c r="B16" s="89"/>
      <c r="C16" s="88" t="str">
        <f>IFERROR(__xludf.DUMMYFUNCTION("GOOGLETRANSLATE(A16,""pt"",""en"")"),"2. Materials and consumables")</f>
        <v>2. Materials and consumables</v>
      </c>
      <c r="D16" s="89" t="str">
        <f>IFERROR(__xludf.DUMMYFUNCTION("GOOGLETRANSLATE(B16,""pt"",""en"")"),"#VALUE!")</f>
        <v>#VALUE!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94" t="s">
        <v>189</v>
      </c>
      <c r="B17" s="89"/>
      <c r="C17" s="94" t="str">
        <f>IFERROR(__xludf.DUMMYFUNCTION("GOOGLETRANSLATE(A17,""pt"",""en"")"),"Feeding material (Alloy):")</f>
        <v>Feeding material (Alloy):</v>
      </c>
      <c r="D17" s="89" t="str">
        <f>IFERROR(__xludf.DUMMYFUNCTION("GOOGLETRANSLATE(B17,""pt"",""en"")"),"#VALUE!")</f>
        <v>#VALUE!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95" t="s">
        <v>228</v>
      </c>
      <c r="B18" s="89"/>
      <c r="C18" s="94" t="str">
        <f>IFERROR(__xludf.DUMMYFUNCTION("GOOGLETRANSLATE(A18,""pt"",""en"")"),"Chemical composition:")</f>
        <v>Chemical composition:</v>
      </c>
      <c r="D18" s="89" t="str">
        <f>IFERROR(__xludf.DUMMYFUNCTION("GOOGLETRANSLATE(B18,""pt"",""en"")"),"#VALUE!")</f>
        <v>#VALUE!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5" t="s">
        <v>229</v>
      </c>
      <c r="B19" s="89"/>
      <c r="C19" s="94" t="str">
        <f>IFERROR(__xludf.DUMMYFUNCTION("GOOGLETRANSLATE(A19,""pt"",""en"")"),"Particle shape:")</f>
        <v>Particle shape:</v>
      </c>
      <c r="D19" s="8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5" t="s">
        <v>230</v>
      </c>
      <c r="B20" s="89"/>
      <c r="C20" s="94" t="str">
        <f>IFERROR(__xludf.DUMMYFUNCTION("GOOGLETRANSLATE(A20,""pt"",""en"")"),"Particle size distribution:")</f>
        <v>Particle size distribution:</v>
      </c>
      <c r="D20" s="8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5" t="s">
        <v>231</v>
      </c>
      <c r="B21" s="89"/>
      <c r="C21" s="94" t="str">
        <f>IFERROR(__xludf.DUMMYFUNCTION("GOOGLETRANSLATE(A21,""pt"",""en"")"),"Apparent density:")</f>
        <v>Apparent density:</v>
      </c>
      <c r="D21" s="8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5" t="s">
        <v>232</v>
      </c>
      <c r="B22" s="89"/>
      <c r="C22" s="94" t="str">
        <f>IFERROR(__xludf.DUMMYFUNCTION("GOOGLETRANSLATE(A22,""pt"",""en"")"),"Fluidity:")</f>
        <v>Fluidity:</v>
      </c>
      <c r="D22" s="8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5" t="s">
        <v>233</v>
      </c>
      <c r="B23" s="89"/>
      <c r="C23" s="94" t="str">
        <f>IFERROR(__xludf.DUMMYFUNCTION("GOOGLETRANSLATE(A23,""pt"",""en"")"),"Inert process gas (Composition):")</f>
        <v>Inert process gas (Composition):</v>
      </c>
      <c r="D23" s="8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4" t="s">
        <v>191</v>
      </c>
      <c r="B24" s="89"/>
      <c r="C24" s="94" t="str">
        <f>IFERROR(__xludf.DUMMYFUNCTION("GOOGLETRANSLATE(A24,""pt"",""en"")"),"Material Certificate (Lot):")</f>
        <v>Material Certificate (Lot):</v>
      </c>
      <c r="D24" s="89" t="str">
        <f>IFERROR(__xludf.DUMMYFUNCTION("GOOGLETRANSLATE(B24,""pt"",""en"")"),"#VALUE!")</f>
        <v>#VALUE!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5" t="s">
        <v>198</v>
      </c>
      <c r="B25" s="89"/>
      <c r="C25" s="94" t="str">
        <f>IFERROR(__xludf.DUMMYFUNCTION("GOOGLETRANSLATE(A25,""pt"",""en"")"),"Thermal post-processing:")</f>
        <v>Thermal post-processing:</v>
      </c>
      <c r="D25" s="89" t="str">
        <f>IFERROR(__xludf.DUMMYFUNCTION("GOOGLETRANSLATE(B25,""pt"",""en"")"),"#VALUE!")</f>
        <v>#VALUE!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88" t="s">
        <v>234</v>
      </c>
      <c r="B26" s="89"/>
      <c r="C26" s="88" t="str">
        <f>IFERROR(__xludf.DUMMYFUNCTION("GOOGLETRANSLATE(A26,""pt"",""en"")"),"3. Post-processing")</f>
        <v>3. Post-processing</v>
      </c>
      <c r="D26" s="8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4" t="s">
        <v>198</v>
      </c>
      <c r="B27" s="89"/>
      <c r="C27" s="94" t="str">
        <f>IFERROR(__xludf.DUMMYFUNCTION("GOOGLETRANSLATE(A27,""pt"",""en"")"),"Thermal post-processing:")</f>
        <v>Thermal post-processing:</v>
      </c>
      <c r="D27" s="8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88" t="s">
        <v>235</v>
      </c>
      <c r="B28" s="89"/>
      <c r="C28" s="88" t="str">
        <f>IFERROR(__xludf.DUMMYFUNCTION("GOOGLETRANSLATE(A28,""pt"",""en"")"),"4. Process parameters")</f>
        <v>4. Process parameters</v>
      </c>
      <c r="D28" s="89" t="str">
        <f>IFERROR(__xludf.DUMMYFUNCTION("GOOGLETRANSLATE(B28,""pt"",""en"")"),"#VALUE!")</f>
        <v>#VALUE!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5" t="s">
        <v>236</v>
      </c>
      <c r="B29" s="89"/>
      <c r="C29" s="94" t="str">
        <f>IFERROR(__xludf.DUMMYFUNCTION("GOOGLETRANSLATE(A29,""pt"",""en"")"),"Parameter set:")</f>
        <v>Parameter set:</v>
      </c>
      <c r="D29" s="89" t="str">
        <f>IFERROR(__xludf.DUMMYFUNCTION("GOOGLETRANSLATE(B29,""pt"",""en"")"),"#VALUE!")</f>
        <v>#VALUE!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4" t="s">
        <v>318</v>
      </c>
      <c r="B30" s="89"/>
      <c r="C30" s="94" t="str">
        <f>IFERROR(__xludf.DUMMYFUNCTION("GOOGLETRANSLATE(A30,""pt"",""en"")"),"Test specimens: Tensile test (quantity and standard used):")</f>
        <v>Test specimens: Tensile test (quantity and standard used):</v>
      </c>
      <c r="D30" s="89" t="str">
        <f>IFERROR(__xludf.DUMMYFUNCTION("GOOGLETRANSLATE(B30,""pt"",""en"")"),"#VALUE!")</f>
        <v>#VALUE!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4" t="s">
        <v>319</v>
      </c>
      <c r="B31" s="89"/>
      <c r="C31" s="94" t="str">
        <f>IFERROR(__xludf.DUMMYFUNCTION("GOOGLETRANSLATE(A31,""pt"",""en"")"),"Test specimens: Thin-walled tensile test (quantity and standard used):")</f>
        <v>Test specimens: Thin-walled tensile test (quantity and standard used):</v>
      </c>
      <c r="D31" s="89" t="str">
        <f>IFERROR(__xludf.DUMMYFUNCTION("GOOGLETRANSLATE(B31,""pt"",""en"")"),"#VALUE!")</f>
        <v>#VALUE!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4" t="s">
        <v>320</v>
      </c>
      <c r="B32" s="89"/>
      <c r="C32" s="94" t="str">
        <f>IFERROR(__xludf.DUMMYFUNCTION("GOOGLETRANSLATE(A32,""pt"",""en"")"),"Test specimens: Impact test (quantity and standard used):")</f>
        <v>Test specimens: Impact test (quantity and standard used):</v>
      </c>
      <c r="D32" s="89" t="str">
        <f>IFERROR(__xludf.DUMMYFUNCTION("GOOGLETRANSLATE(B32,""pt"",""en"")"),"#VALUE!")</f>
        <v>#VALUE!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4" t="s">
        <v>321</v>
      </c>
      <c r="B33" s="89"/>
      <c r="C33" s="94" t="str">
        <f>IFERROR(__xludf.DUMMYFUNCTION("GOOGLETRANSLATE(A33,""pt"",""en"")"),"Test specimens: Hardness, Macrostructure, Microstructure and Porosity (quantity and standard used):")</f>
        <v>Test specimens: Hardness, Macrostructure, Microstructure and Porosity (quantity and standard used):</v>
      </c>
      <c r="D33" s="89" t="str">
        <f>IFERROR(__xludf.DUMMYFUNCTION("GOOGLETRANSLATE(B33,""pt"",""en"")"),"#VALUE!")</f>
        <v>#VALUE!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4" t="s">
        <v>322</v>
      </c>
      <c r="B34" s="89"/>
      <c r="C34" s="94" t="str">
        <f>IFERROR(__xludf.DUMMYFUNCTION("GOOGLETRANSLATE(A34,""pt"",""en"")"),"Test specimens: Chemical Analysis (standard used):")</f>
        <v>Test specimens: Chemical Analysis (standard used):</v>
      </c>
      <c r="D34" s="89" t="str">
        <f>IFERROR(__xludf.DUMMYFUNCTION("GOOGLETRANSLATE(B34,""pt"",""en"")"),"#VALUE!")</f>
        <v>#VALUE!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4" t="s">
        <v>323</v>
      </c>
      <c r="B35" s="89"/>
      <c r="C35" s="94" t="str">
        <f>IFERROR(__xludf.DUMMYFUNCTION("GOOGLETRANSLATE(A35,""pt"",""en"")"),"Details and sequence of post-processing:")</f>
        <v>Details and sequence of post-processing:</v>
      </c>
      <c r="D35" s="89" t="str">
        <f>IFERROR(__xludf.DUMMYFUNCTION("GOOGLETRANSLATE(B35,""pt"",""en"")"),"#VALUE!")</f>
        <v>#VALUE!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4" t="s">
        <v>324</v>
      </c>
      <c r="B36" s="89"/>
      <c r="C36" s="94" t="str">
        <f>IFERROR(__xludf.DUMMYFUNCTION("GOOGLETRANSLATE(A36,""pt"",""en"")"),"Results of the construction process qualification test (laboratory tests, orientation and location of test specimens):")</f>
        <v>Results of the construction process qualification test (laboratory tests, orientation and location of test specimens):</v>
      </c>
      <c r="D36" s="89" t="str">
        <f>IFERROR(__xludf.DUMMYFUNCTION("GOOGLETRANSLATE(B36,""pt"",""en"")"),"#VALUE!")</f>
        <v>#VALUE!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4" t="s">
        <v>325</v>
      </c>
      <c r="B37" s="89"/>
      <c r="C37" s="94" t="str">
        <f>IFERROR(__xludf.DUMMYFUNCTION("GOOGLETRANSLATE(A37,""pt"",""en"")"),"Non-destructive testing reports, with a statement of results/conformity, if applicable:")</f>
        <v>Non-destructive testing reports, with a statement of results/conformity, if applicable:</v>
      </c>
      <c r="D37" s="89" t="str">
        <f>IFERROR(__xludf.DUMMYFUNCTION("GOOGLETRANSLATE(B37,""pt"",""en"")"),"#VALUE!")</f>
        <v>#VALUE!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91"/>
    </row>
    <row r="39">
      <c r="A39" s="114" t="s">
        <v>326</v>
      </c>
      <c r="B39" s="114" t="s">
        <v>8</v>
      </c>
      <c r="C39" s="114" t="s">
        <v>46</v>
      </c>
      <c r="D39" s="115" t="s">
        <v>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1:C1"/>
    <mergeCell ref="A2:D2"/>
    <mergeCell ref="A38:Z3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88"/>
    <col customWidth="1" min="2" max="2" width="16.0"/>
    <col customWidth="1" min="3" max="3" width="47.38"/>
    <col customWidth="1" min="4" max="4" width="103.88"/>
  </cols>
  <sheetData>
    <row r="1" ht="15.75" customHeight="1">
      <c r="A1" s="116" t="s">
        <v>329</v>
      </c>
      <c r="B1" s="117" t="s">
        <v>330</v>
      </c>
      <c r="C1" s="117" t="s">
        <v>331</v>
      </c>
      <c r="D1" s="118" t="s">
        <v>332</v>
      </c>
    </row>
    <row r="2" ht="15.75" customHeight="1">
      <c r="A2" s="119" t="s">
        <v>333</v>
      </c>
      <c r="B2" s="120">
        <v>45658.0</v>
      </c>
      <c r="C2" s="121" t="s">
        <v>334</v>
      </c>
      <c r="D2" s="122" t="s">
        <v>335</v>
      </c>
    </row>
    <row r="3" ht="15.75" customHeight="1">
      <c r="A3" s="123"/>
      <c r="B3" s="124">
        <v>45689.0</v>
      </c>
      <c r="C3" s="125" t="s">
        <v>336</v>
      </c>
      <c r="D3" s="126" t="s">
        <v>335</v>
      </c>
    </row>
    <row r="4" ht="15.75" customHeight="1">
      <c r="A4" s="123"/>
      <c r="B4" s="120">
        <v>45717.0</v>
      </c>
      <c r="C4" s="121" t="s">
        <v>337</v>
      </c>
      <c r="D4" s="122" t="s">
        <v>335</v>
      </c>
    </row>
    <row r="5" ht="15.75" customHeight="1">
      <c r="A5" s="123"/>
      <c r="B5" s="124">
        <v>45748.0</v>
      </c>
      <c r="C5" s="125" t="s">
        <v>338</v>
      </c>
      <c r="D5" s="126" t="s">
        <v>335</v>
      </c>
    </row>
    <row r="6" ht="15.75" customHeight="1">
      <c r="A6" s="123"/>
      <c r="B6" s="120">
        <v>45778.0</v>
      </c>
      <c r="C6" s="121" t="s">
        <v>339</v>
      </c>
      <c r="D6" s="122" t="s">
        <v>335</v>
      </c>
    </row>
    <row r="7" ht="15.75" customHeight="1">
      <c r="A7" s="123"/>
      <c r="B7" s="124">
        <v>45809.0</v>
      </c>
      <c r="C7" s="125" t="s">
        <v>340</v>
      </c>
      <c r="D7" s="126" t="s">
        <v>341</v>
      </c>
    </row>
    <row r="8" ht="15.75" customHeight="1">
      <c r="A8" s="123"/>
      <c r="B8" s="120">
        <v>45839.0</v>
      </c>
      <c r="C8" s="121" t="s">
        <v>342</v>
      </c>
      <c r="D8" s="122" t="s">
        <v>343</v>
      </c>
    </row>
    <row r="9" ht="15.75" customHeight="1">
      <c r="A9" s="127" t="s">
        <v>188</v>
      </c>
      <c r="B9" s="124">
        <v>45659.0</v>
      </c>
      <c r="C9" s="125" t="s">
        <v>344</v>
      </c>
      <c r="D9" s="126" t="s">
        <v>345</v>
      </c>
    </row>
    <row r="10" ht="15.75" customHeight="1">
      <c r="A10" s="123"/>
      <c r="B10" s="120">
        <v>45690.0</v>
      </c>
      <c r="C10" s="121" t="s">
        <v>346</v>
      </c>
      <c r="D10" s="128" t="s">
        <v>347</v>
      </c>
    </row>
    <row r="11" ht="15.75" customHeight="1">
      <c r="A11" s="123"/>
      <c r="B11" s="124">
        <v>45718.0</v>
      </c>
      <c r="C11" s="125" t="s">
        <v>348</v>
      </c>
      <c r="D11" s="126" t="s">
        <v>349</v>
      </c>
    </row>
    <row r="12" ht="15.75" customHeight="1">
      <c r="A12" s="123"/>
      <c r="B12" s="120">
        <v>45749.0</v>
      </c>
      <c r="C12" s="121" t="s">
        <v>350</v>
      </c>
      <c r="D12" s="122" t="s">
        <v>351</v>
      </c>
    </row>
    <row r="13" ht="15.75" customHeight="1">
      <c r="A13" s="123"/>
      <c r="B13" s="124">
        <v>45779.0</v>
      </c>
      <c r="C13" s="125" t="s">
        <v>352</v>
      </c>
      <c r="D13" s="126" t="s">
        <v>353</v>
      </c>
    </row>
    <row r="14" ht="15.75" customHeight="1">
      <c r="A14" s="123"/>
      <c r="B14" s="129">
        <v>45810.0</v>
      </c>
      <c r="C14" s="121" t="s">
        <v>354</v>
      </c>
      <c r="D14" s="122" t="s">
        <v>355</v>
      </c>
    </row>
    <row r="15" ht="15.75" customHeight="1">
      <c r="A15" s="123"/>
      <c r="B15" s="124">
        <v>45840.0</v>
      </c>
      <c r="C15" s="125" t="s">
        <v>356</v>
      </c>
      <c r="D15" s="126" t="s">
        <v>357</v>
      </c>
    </row>
    <row r="16" ht="15.75" customHeight="1">
      <c r="A16" s="130" t="s">
        <v>358</v>
      </c>
      <c r="B16" s="131">
        <v>45660.0</v>
      </c>
      <c r="C16" s="132" t="s">
        <v>359</v>
      </c>
      <c r="D16" s="133" t="s">
        <v>360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A22" s="116" t="s">
        <v>329</v>
      </c>
      <c r="B22" s="117" t="s">
        <v>330</v>
      </c>
      <c r="C22" s="117" t="s">
        <v>331</v>
      </c>
      <c r="D22" s="118" t="s">
        <v>332</v>
      </c>
    </row>
    <row r="23" ht="15.75" customHeight="1">
      <c r="A23" s="119" t="s">
        <v>361</v>
      </c>
      <c r="B23" s="134" t="s">
        <v>362</v>
      </c>
      <c r="C23" s="121" t="s">
        <v>363</v>
      </c>
      <c r="D23" s="122" t="s">
        <v>364</v>
      </c>
      <c r="J23" s="119" t="s">
        <v>361</v>
      </c>
      <c r="K23" s="134"/>
      <c r="L23" s="135"/>
    </row>
    <row r="24" ht="15.75" customHeight="1">
      <c r="A24" s="127"/>
      <c r="B24" s="134" t="s">
        <v>365</v>
      </c>
      <c r="C24" s="125" t="s">
        <v>366</v>
      </c>
      <c r="D24" s="126" t="s">
        <v>367</v>
      </c>
      <c r="J24" s="121" t="s">
        <v>363</v>
      </c>
      <c r="K24" s="134"/>
      <c r="L24" s="135"/>
    </row>
    <row r="25" ht="15.75" customHeight="1">
      <c r="A25" s="119"/>
      <c r="B25" s="134" t="s">
        <v>368</v>
      </c>
      <c r="C25" s="121" t="s">
        <v>369</v>
      </c>
      <c r="D25" s="122" t="s">
        <v>370</v>
      </c>
      <c r="J25" s="125" t="s">
        <v>366</v>
      </c>
      <c r="K25" s="134"/>
      <c r="L25" s="135"/>
    </row>
    <row r="26" ht="15.75" customHeight="1">
      <c r="A26" s="127"/>
      <c r="B26" s="134" t="s">
        <v>371</v>
      </c>
      <c r="C26" s="125" t="s">
        <v>372</v>
      </c>
      <c r="D26" s="126" t="s">
        <v>373</v>
      </c>
      <c r="J26" s="121" t="s">
        <v>369</v>
      </c>
      <c r="K26" s="134"/>
      <c r="L26" s="135"/>
    </row>
    <row r="27" ht="15.75" customHeight="1">
      <c r="A27" s="119"/>
      <c r="B27" s="134" t="s">
        <v>374</v>
      </c>
      <c r="C27" s="121" t="s">
        <v>375</v>
      </c>
      <c r="D27" s="122" t="s">
        <v>376</v>
      </c>
      <c r="J27" s="125" t="s">
        <v>372</v>
      </c>
      <c r="K27" s="134"/>
      <c r="L27" s="135"/>
    </row>
    <row r="28" ht="15.75" customHeight="1">
      <c r="A28" s="127"/>
      <c r="B28" s="134" t="s">
        <v>377</v>
      </c>
      <c r="C28" s="125" t="s">
        <v>378</v>
      </c>
      <c r="D28" s="126" t="s">
        <v>379</v>
      </c>
      <c r="J28" s="121" t="s">
        <v>375</v>
      </c>
      <c r="K28" s="134"/>
      <c r="L28" s="135"/>
    </row>
    <row r="29" ht="15.75" customHeight="1">
      <c r="A29" s="119"/>
      <c r="B29" s="134" t="s">
        <v>380</v>
      </c>
      <c r="C29" s="121" t="s">
        <v>381</v>
      </c>
      <c r="D29" s="122" t="s">
        <v>382</v>
      </c>
      <c r="J29" s="125" t="s">
        <v>378</v>
      </c>
      <c r="K29" s="134"/>
      <c r="L29" s="135"/>
    </row>
    <row r="30" ht="15.75" customHeight="1">
      <c r="A30" s="127"/>
      <c r="B30" s="134" t="s">
        <v>383</v>
      </c>
      <c r="C30" s="125" t="s">
        <v>384</v>
      </c>
      <c r="D30" s="126" t="s">
        <v>385</v>
      </c>
      <c r="J30" s="121" t="s">
        <v>381</v>
      </c>
      <c r="K30" s="134"/>
      <c r="L30" s="135"/>
    </row>
    <row r="31" ht="15.75" customHeight="1">
      <c r="A31" s="119"/>
      <c r="B31" s="134" t="s">
        <v>386</v>
      </c>
      <c r="C31" s="121" t="s">
        <v>387</v>
      </c>
      <c r="D31" s="122" t="s">
        <v>388</v>
      </c>
      <c r="J31" s="125" t="s">
        <v>384</v>
      </c>
      <c r="K31" s="134"/>
      <c r="L31" s="135"/>
    </row>
    <row r="32" ht="15.75" customHeight="1">
      <c r="A32" s="127"/>
      <c r="B32" s="134" t="s">
        <v>389</v>
      </c>
      <c r="C32" s="125" t="s">
        <v>390</v>
      </c>
      <c r="D32" s="126" t="s">
        <v>391</v>
      </c>
      <c r="J32" s="121" t="s">
        <v>387</v>
      </c>
      <c r="K32" s="134"/>
      <c r="L32" s="135"/>
    </row>
    <row r="33" ht="15.75" customHeight="1">
      <c r="A33" s="119"/>
      <c r="B33" s="134" t="s">
        <v>392</v>
      </c>
      <c r="C33" s="121" t="s">
        <v>393</v>
      </c>
      <c r="D33" s="122" t="s">
        <v>394</v>
      </c>
      <c r="J33" s="125" t="s">
        <v>390</v>
      </c>
      <c r="K33" s="134"/>
      <c r="L33" s="135"/>
    </row>
    <row r="34" ht="15.75" customHeight="1">
      <c r="A34" s="127"/>
      <c r="B34" s="134" t="s">
        <v>395</v>
      </c>
      <c r="C34" s="125" t="s">
        <v>396</v>
      </c>
      <c r="D34" s="126" t="s">
        <v>397</v>
      </c>
      <c r="J34" s="121" t="s">
        <v>393</v>
      </c>
      <c r="K34" s="134"/>
      <c r="L34" s="135"/>
    </row>
    <row r="35" ht="15.75" customHeight="1">
      <c r="A35" s="119"/>
      <c r="B35" s="134" t="s">
        <v>398</v>
      </c>
      <c r="C35" s="121" t="s">
        <v>399</v>
      </c>
      <c r="D35" s="122" t="s">
        <v>400</v>
      </c>
      <c r="J35" s="125" t="s">
        <v>396</v>
      </c>
      <c r="K35" s="134"/>
      <c r="L35" s="135"/>
    </row>
    <row r="36" ht="15.75" customHeight="1">
      <c r="A36" s="127"/>
      <c r="B36" s="134" t="s">
        <v>401</v>
      </c>
      <c r="C36" s="125" t="s">
        <v>402</v>
      </c>
      <c r="D36" s="126" t="s">
        <v>403</v>
      </c>
      <c r="J36" s="121" t="s">
        <v>399</v>
      </c>
      <c r="K36" s="134"/>
      <c r="L36" s="135"/>
    </row>
    <row r="37" ht="15.75" customHeight="1">
      <c r="A37" s="119"/>
      <c r="B37" s="134" t="s">
        <v>404</v>
      </c>
      <c r="C37" s="121" t="s">
        <v>405</v>
      </c>
      <c r="D37" s="122" t="s">
        <v>406</v>
      </c>
      <c r="J37" s="125" t="s">
        <v>402</v>
      </c>
      <c r="K37" s="134"/>
      <c r="L37" s="135"/>
    </row>
    <row r="38" ht="15.75" customHeight="1">
      <c r="A38" s="127"/>
      <c r="B38" s="134" t="s">
        <v>407</v>
      </c>
      <c r="C38" s="125" t="s">
        <v>408</v>
      </c>
      <c r="D38" s="126" t="s">
        <v>409</v>
      </c>
      <c r="J38" s="121" t="s">
        <v>405</v>
      </c>
      <c r="K38" s="134"/>
      <c r="L38" s="135"/>
    </row>
    <row r="39" ht="15.75" customHeight="1">
      <c r="A39" s="119"/>
      <c r="B39" s="134" t="s">
        <v>410</v>
      </c>
      <c r="C39" s="121" t="s">
        <v>411</v>
      </c>
      <c r="D39" s="122" t="s">
        <v>412</v>
      </c>
      <c r="J39" s="125" t="s">
        <v>408</v>
      </c>
      <c r="K39" s="134"/>
      <c r="L39" s="135"/>
    </row>
    <row r="40" ht="15.75" customHeight="1">
      <c r="A40" s="127"/>
      <c r="B40" s="134" t="s">
        <v>413</v>
      </c>
      <c r="C40" s="125" t="s">
        <v>414</v>
      </c>
      <c r="D40" s="126" t="s">
        <v>415</v>
      </c>
      <c r="J40" s="121" t="s">
        <v>411</v>
      </c>
      <c r="K40" s="134"/>
      <c r="L40" s="135"/>
    </row>
    <row r="41" ht="15.75" customHeight="1">
      <c r="A41" s="130"/>
      <c r="B41" s="136" t="s">
        <v>416</v>
      </c>
      <c r="C41" s="132" t="s">
        <v>417</v>
      </c>
      <c r="D41" s="133" t="s">
        <v>418</v>
      </c>
      <c r="J41" s="125" t="s">
        <v>414</v>
      </c>
      <c r="K41" s="136"/>
      <c r="L41" s="135"/>
    </row>
    <row r="42" ht="15.75" customHeight="1">
      <c r="J42" s="132" t="s">
        <v>417</v>
      </c>
      <c r="K42" s="137"/>
      <c r="L42" s="13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16">
      <formula1>OR(NOT(ISERROR(DATEVALUE(B2))), AND(ISNUMBER(B2), LEFT(CELL("format", B2))="D"))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  <tableParts count="3"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2025-09-30T17:19:03Z</dcterms:created>
  <dc:creator>GUSTAVO HENRIQUE ZOSCHKE</dc:creator>
</cp:coreProperties>
</file>